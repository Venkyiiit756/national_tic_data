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100</v>
      </c>
      <c r="F2" s="2" t="n">
        <v>132</v>
      </c>
      <c r="G2" s="2" t="n">
        <v>32</v>
      </c>
      <c r="H2" s="3" t="n">
        <v>0.2424242424242424</v>
      </c>
      <c r="I2" s="2" t="n">
        <v>220</v>
      </c>
      <c r="J2" s="2" t="n">
        <v>29040</v>
      </c>
      <c r="K2" s="2" t="n">
        <v>7040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78</v>
      </c>
      <c r="F22" s="2" t="n">
        <v>80</v>
      </c>
      <c r="G22" s="2" t="n">
        <v>2</v>
      </c>
      <c r="H22" s="3" t="n">
        <v>0.025</v>
      </c>
      <c r="I22" s="2" t="n">
        <v>180</v>
      </c>
      <c r="J22" s="2" t="n">
        <v>14400</v>
      </c>
      <c r="K22" s="2" t="n">
        <v>360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18</v>
      </c>
      <c r="F36" s="2" t="n">
        <v>21</v>
      </c>
      <c r="G36" s="2" t="n">
        <v>3</v>
      </c>
      <c r="H36" s="3" t="n">
        <v>0.1428571428571428</v>
      </c>
      <c r="I36" s="2" t="n">
        <v>450</v>
      </c>
      <c r="J36" s="2" t="n">
        <v>9450</v>
      </c>
      <c r="K36" s="2" t="n">
        <v>1350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IMAX</t>
        </is>
      </c>
      <c r="C42" s="2" t="inlineStr">
        <is>
          <t>2025-01-10T04:00</t>
        </is>
      </c>
      <c r="D42" s="2" t="inlineStr">
        <is>
          <t>CLASSIC</t>
        </is>
      </c>
      <c r="E42" s="2" t="n">
        <v>271</v>
      </c>
      <c r="F42" s="2" t="n">
        <v>288</v>
      </c>
      <c r="G42" s="2" t="n">
        <v>17</v>
      </c>
      <c r="H42" s="3" t="n">
        <v>0.05902777777777778</v>
      </c>
      <c r="I42" s="2" t="n">
        <v>360</v>
      </c>
      <c r="J42" s="2" t="n">
        <v>103680</v>
      </c>
      <c r="K42" s="2" t="n">
        <v>6120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RECLINER</t>
        </is>
      </c>
      <c r="E43" s="4" t="n">
        <v>20</v>
      </c>
      <c r="F43" s="4" t="n">
        <v>20</v>
      </c>
      <c r="G43" s="4" t="n">
        <v>0</v>
      </c>
      <c r="H43" s="5" t="n">
        <v>0</v>
      </c>
      <c r="I43" s="4" t="n">
        <v>720</v>
      </c>
      <c r="J43" s="4" t="n">
        <v>14400</v>
      </c>
      <c r="K43" s="4" t="n">
        <v>0</v>
      </c>
    </row>
    <row r="44">
      <c r="A44" s="2" t="inlineStr">
        <is>
          <t>PVR Superplex Logix, Sector 32, Noida</t>
        </is>
      </c>
      <c r="B44" s="2" t="inlineStr">
        <is>
          <t>AUDI 10</t>
        </is>
      </c>
      <c r="C44" s="2" t="inlineStr">
        <is>
          <t>2025-01-10T12:00</t>
        </is>
      </c>
      <c r="D44" s="2" t="inlineStr">
        <is>
          <t>CLASSIC</t>
        </is>
      </c>
      <c r="E44" s="2" t="n">
        <v>67</v>
      </c>
      <c r="F44" s="2" t="n">
        <v>88</v>
      </c>
      <c r="G44" s="2" t="n">
        <v>21</v>
      </c>
      <c r="H44" s="3" t="n">
        <v>0.2386363636363636</v>
      </c>
      <c r="I44" s="2" t="n">
        <v>285</v>
      </c>
      <c r="J44" s="2" t="n">
        <v>25080</v>
      </c>
      <c r="K44" s="2" t="n">
        <v>5985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10</v>
      </c>
      <c r="F52" s="2" t="n">
        <v>32</v>
      </c>
      <c r="G52" s="2" t="n">
        <v>22</v>
      </c>
      <c r="H52" s="3" t="n">
        <v>0.6875</v>
      </c>
      <c r="I52" s="2" t="n">
        <v>320</v>
      </c>
      <c r="J52" s="2" t="n">
        <v>10240</v>
      </c>
      <c r="K52" s="2" t="n">
        <v>7040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253</v>
      </c>
      <c r="F55" s="4" t="n">
        <v>263</v>
      </c>
      <c r="G55" s="4" t="n">
        <v>10</v>
      </c>
      <c r="H55" s="5" t="n">
        <v>0.03802281368821293</v>
      </c>
      <c r="I55" s="4" t="n">
        <v>270</v>
      </c>
      <c r="J55" s="4" t="n">
        <v>71010</v>
      </c>
      <c r="K55" s="4" t="n">
        <v>2700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217</v>
      </c>
      <c r="F56" s="2" t="n">
        <v>263</v>
      </c>
      <c r="G56" s="2" t="n">
        <v>46</v>
      </c>
      <c r="H56" s="3" t="n">
        <v>0.1749049429657795</v>
      </c>
      <c r="I56" s="2" t="n">
        <v>270</v>
      </c>
      <c r="J56" s="2" t="n">
        <v>71010</v>
      </c>
      <c r="K56" s="2" t="n">
        <v>12420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64</v>
      </c>
      <c r="F63" s="4" t="n">
        <v>67</v>
      </c>
      <c r="G63" s="4" t="n">
        <v>3</v>
      </c>
      <c r="H63" s="5" t="n">
        <v>0.04477611940298507</v>
      </c>
      <c r="I63" s="4" t="n">
        <v>310</v>
      </c>
      <c r="J63" s="4" t="n">
        <v>20770</v>
      </c>
      <c r="K63" s="4" t="n">
        <v>930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3</v>
      </c>
      <c r="F64" s="2" t="n">
        <v>14</v>
      </c>
      <c r="G64" s="2" t="n">
        <v>11</v>
      </c>
      <c r="H64" s="3" t="n">
        <v>0.7857142857142857</v>
      </c>
      <c r="I64" s="2" t="n">
        <v>510</v>
      </c>
      <c r="J64" s="2" t="n">
        <v>7140</v>
      </c>
      <c r="K64" s="2" t="n">
        <v>5610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18</v>
      </c>
      <c r="F65" s="4" t="n">
        <v>42</v>
      </c>
      <c r="G65" s="4" t="n">
        <v>24</v>
      </c>
      <c r="H65" s="5" t="n">
        <v>0.5714285714285714</v>
      </c>
      <c r="I65" s="4" t="n">
        <v>360</v>
      </c>
      <c r="J65" s="4" t="n">
        <v>15120</v>
      </c>
      <c r="K65" s="4" t="n">
        <v>8640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96</v>
      </c>
      <c r="F69" s="4" t="n">
        <v>131</v>
      </c>
      <c r="G69" s="4" t="n">
        <v>35</v>
      </c>
      <c r="H69" s="5" t="n">
        <v>0.267175572519084</v>
      </c>
      <c r="I69" s="4" t="n">
        <v>310</v>
      </c>
      <c r="J69" s="4" t="n">
        <v>40610</v>
      </c>
      <c r="K69" s="4" t="n">
        <v>10850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2025-01-10T10:30</t>
        </is>
      </c>
      <c r="D72" s="2" t="inlineStr">
        <is>
          <t>Club</t>
        </is>
      </c>
      <c r="E72" s="2" t="n">
        <v>98</v>
      </c>
      <c r="F72" s="2" t="n">
        <v>142</v>
      </c>
      <c r="G72" s="2" t="n">
        <v>44</v>
      </c>
      <c r="H72" s="3" t="n">
        <v>0.3098591549295774</v>
      </c>
      <c r="I72" s="2" t="n">
        <v>290</v>
      </c>
      <c r="J72" s="2" t="n">
        <v>41180</v>
      </c>
      <c r="K72" s="2" t="n">
        <v>12760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2025-01-10T10:30</t>
        </is>
      </c>
      <c r="D73" s="4" t="inlineStr">
        <is>
          <t>Executive</t>
        </is>
      </c>
      <c r="E73" s="4" t="n">
        <v>155</v>
      </c>
      <c r="F73" s="4" t="n">
        <v>161</v>
      </c>
      <c r="G73" s="4" t="n">
        <v>6</v>
      </c>
      <c r="H73" s="5" t="n">
        <v>0.03726708074534162</v>
      </c>
      <c r="I73" s="4" t="n">
        <v>260</v>
      </c>
      <c r="J73" s="4" t="n">
        <v>41860</v>
      </c>
      <c r="K73" s="4" t="n">
        <v>1560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2025-01-10T10:30</t>
        </is>
      </c>
      <c r="D74" s="2" t="inlineStr">
        <is>
          <t>Royal</t>
        </is>
      </c>
      <c r="E74" s="2" t="n">
        <v>24</v>
      </c>
      <c r="F74" s="2" t="n">
        <v>49</v>
      </c>
      <c r="G74" s="2" t="n">
        <v>25</v>
      </c>
      <c r="H74" s="3" t="n">
        <v>0.5102040816326531</v>
      </c>
      <c r="I74" s="2" t="n">
        <v>320</v>
      </c>
      <c r="J74" s="2" t="n">
        <v>15680</v>
      </c>
      <c r="K74" s="2" t="n">
        <v>8000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2025-01-10T03:30</t>
        </is>
      </c>
      <c r="D75" s="4" t="inlineStr">
        <is>
          <t>Club</t>
        </is>
      </c>
      <c r="E75" s="4" t="n">
        <v>0</v>
      </c>
      <c r="F75" s="4" t="n">
        <v>142</v>
      </c>
      <c r="G75" s="4" t="n">
        <v>142</v>
      </c>
      <c r="H75" s="5" t="n">
        <v>1</v>
      </c>
      <c r="I75" s="4" t="n">
        <v>250</v>
      </c>
      <c r="J75" s="4" t="n">
        <v>35500</v>
      </c>
      <c r="K75" s="4" t="n">
        <v>35500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2025-01-10T03:30</t>
        </is>
      </c>
      <c r="D76" s="2" t="inlineStr">
        <is>
          <t>Executive</t>
        </is>
      </c>
      <c r="E76" s="2" t="n">
        <v>64</v>
      </c>
      <c r="F76" s="2" t="n">
        <v>161</v>
      </c>
      <c r="G76" s="2" t="n">
        <v>97</v>
      </c>
      <c r="H76" s="3" t="n">
        <v>0.6024844720496895</v>
      </c>
      <c r="I76" s="2" t="n">
        <v>230</v>
      </c>
      <c r="J76" s="2" t="n">
        <v>37030</v>
      </c>
      <c r="K76" s="2" t="n">
        <v>22310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2025-01-10T03:30</t>
        </is>
      </c>
      <c r="D77" s="4" t="inlineStr">
        <is>
          <t>Royal</t>
        </is>
      </c>
      <c r="E77" s="4" t="n">
        <v>1</v>
      </c>
      <c r="F77" s="4" t="n">
        <v>49</v>
      </c>
      <c r="G77" s="4" t="n">
        <v>48</v>
      </c>
      <c r="H77" s="5" t="n">
        <v>0.9795918367346939</v>
      </c>
      <c r="I77" s="4" t="n">
        <v>260</v>
      </c>
      <c r="J77" s="4" t="n">
        <v>12740</v>
      </c>
      <c r="K77" s="4" t="n">
        <v>12480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RR Cinema Jaipuria Mall, Indirapuram, Ghaziabad</t>
        </is>
      </c>
      <c r="B85" s="4" t="inlineStr">
        <is>
          <t>AUDI 2</t>
        </is>
      </c>
      <c r="C85" s="4" t="inlineStr">
        <is>
          <t>2025-01-10T13:50</t>
        </is>
      </c>
      <c r="D85" s="4" t="inlineStr">
        <is>
          <t>GOLD</t>
        </is>
      </c>
      <c r="E85" s="4" t="n">
        <v>203</v>
      </c>
      <c r="F85" s="4" t="n">
        <v>240</v>
      </c>
      <c r="G85" s="4" t="n">
        <v>37</v>
      </c>
      <c r="H85" s="5" t="n">
        <v>0.1541666666666667</v>
      </c>
      <c r="I85" s="4" t="n">
        <v>220</v>
      </c>
      <c r="J85" s="4" t="n">
        <v>52800</v>
      </c>
      <c r="K85" s="4" t="n">
        <v>8140</v>
      </c>
    </row>
    <row r="86">
      <c r="A86" s="2" t="inlineStr">
        <is>
          <t>RR Cinema Jaipuria Mall, Indirapuram, Ghaziabad</t>
        </is>
      </c>
      <c r="B86" s="2" t="inlineStr">
        <is>
          <t>AUDI 2</t>
        </is>
      </c>
      <c r="C86" s="2" t="inlineStr">
        <is>
          <t>2025-01-10T13:50</t>
        </is>
      </c>
      <c r="D86" s="2" t="inlineStr">
        <is>
          <t>SILVER</t>
        </is>
      </c>
      <c r="E86" s="2" t="n">
        <v>100</v>
      </c>
      <c r="F86" s="2" t="n">
        <v>100</v>
      </c>
      <c r="G86" s="2" t="n">
        <v>0</v>
      </c>
      <c r="H86" s="3" t="n">
        <v>0</v>
      </c>
      <c r="I86" s="2" t="n">
        <v>190</v>
      </c>
      <c r="J86" s="2" t="n">
        <v>19000</v>
      </c>
      <c r="K86" s="2" t="n">
        <v>0</v>
      </c>
    </row>
    <row r="87">
      <c r="A87" s="4" t="inlineStr">
        <is>
          <t>RR Cinema Jaipuria Mall, Indirapuram, Ghaziabad</t>
        </is>
      </c>
      <c r="B87" s="4" t="inlineStr">
        <is>
          <t>AUDI 2</t>
        </is>
      </c>
      <c r="C87" s="4" t="inlineStr">
        <is>
          <t>2025-01-10T13:50</t>
        </is>
      </c>
      <c r="D87" s="4" t="inlineStr">
        <is>
          <t>PREMIUM SOFA</t>
        </is>
      </c>
      <c r="E87" s="4" t="n">
        <v>19</v>
      </c>
      <c r="F87" s="4" t="n">
        <v>21</v>
      </c>
      <c r="G87" s="4" t="n">
        <v>2</v>
      </c>
      <c r="H87" s="5" t="n">
        <v>0.09523809523809523</v>
      </c>
      <c r="I87" s="4" t="n">
        <v>350</v>
      </c>
      <c r="J87" s="4" t="n">
        <v>7350</v>
      </c>
      <c r="K87" s="4" t="n">
        <v>700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2025-01-10T12:30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200</v>
      </c>
      <c r="J88" s="2" t="n">
        <v>32000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2025-01-10T12:30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220</v>
      </c>
      <c r="J89" s="4" t="n">
        <v>40480</v>
      </c>
      <c r="K89" s="4" t="n">
        <v>5280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2025-01-10T12:30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320</v>
      </c>
      <c r="J90" s="2" t="n">
        <v>6720</v>
      </c>
      <c r="K90" s="2" t="n">
        <v>3200</v>
      </c>
    </row>
    <row r="91">
      <c r="A91" s="4" t="inlineStr">
        <is>
          <t>Cineport Cinemas, MSX Mall, Greater Noida</t>
        </is>
      </c>
      <c r="B91" s="4" t="inlineStr">
        <is>
          <t>SCREEN 3</t>
        </is>
      </c>
      <c r="C91" s="4" t="inlineStr">
        <is>
          <t>2025-01-10T03:30</t>
        </is>
      </c>
      <c r="D91" s="4" t="inlineStr">
        <is>
          <t>CLUB</t>
        </is>
      </c>
      <c r="E91" s="4" t="n">
        <v>160</v>
      </c>
      <c r="F91" s="4" t="n">
        <v>160</v>
      </c>
      <c r="G91" s="4" t="n">
        <v>0</v>
      </c>
      <c r="H91" s="5" t="n">
        <v>0</v>
      </c>
      <c r="I91" s="4" t="n">
        <v>160</v>
      </c>
      <c r="J91" s="4" t="n">
        <v>25600</v>
      </c>
      <c r="K91" s="4" t="n">
        <v>0</v>
      </c>
    </row>
    <row r="92">
      <c r="A92" s="2" t="inlineStr">
        <is>
          <t>Cineport Cinemas, MSX Mall, Greater Noida</t>
        </is>
      </c>
      <c r="B92" s="2" t="inlineStr">
        <is>
          <t>SCREEN 3</t>
        </is>
      </c>
      <c r="C92" s="2" t="inlineStr">
        <is>
          <t>2025-01-10T03:30</t>
        </is>
      </c>
      <c r="D92" s="2" t="inlineStr">
        <is>
          <t>ROYAL</t>
        </is>
      </c>
      <c r="E92" s="2" t="n">
        <v>160</v>
      </c>
      <c r="F92" s="2" t="n">
        <v>184</v>
      </c>
      <c r="G92" s="2" t="n">
        <v>24</v>
      </c>
      <c r="H92" s="3" t="n">
        <v>0.1304347826086956</v>
      </c>
      <c r="I92" s="2" t="n">
        <v>180</v>
      </c>
      <c r="J92" s="2" t="n">
        <v>33120</v>
      </c>
      <c r="K92" s="2" t="n">
        <v>4320</v>
      </c>
    </row>
    <row r="93">
      <c r="A93" s="4" t="inlineStr">
        <is>
          <t>Cineport Cinemas, MSX Mall, Greater Noida</t>
        </is>
      </c>
      <c r="B93" s="4" t="inlineStr">
        <is>
          <t>SCREEN 3</t>
        </is>
      </c>
      <c r="C93" s="4" t="inlineStr">
        <is>
          <t>2025-01-10T03:30</t>
        </is>
      </c>
      <c r="D93" s="4" t="inlineStr">
        <is>
          <t>RECLINER</t>
        </is>
      </c>
      <c r="E93" s="4" t="n">
        <v>11</v>
      </c>
      <c r="F93" s="4" t="n">
        <v>21</v>
      </c>
      <c r="G93" s="4" t="n">
        <v>10</v>
      </c>
      <c r="H93" s="5" t="n">
        <v>0.4761904761904762</v>
      </c>
      <c r="I93" s="4" t="n">
        <v>280</v>
      </c>
      <c r="J93" s="4" t="n">
        <v>5880</v>
      </c>
      <c r="K93" s="4" t="n">
        <v>2800</v>
      </c>
    </row>
    <row r="94">
      <c r="A94" s="2" t="inlineStr">
        <is>
          <t>PVR Naraina, Community Centre, New Delhi</t>
        </is>
      </c>
      <c r="B94" s="2" t="inlineStr">
        <is>
          <t>AUDI 1</t>
        </is>
      </c>
      <c r="C94" s="2" t="inlineStr">
        <is>
          <t>2025-01-10T14:30</t>
        </is>
      </c>
      <c r="D94" s="2" t="inlineStr">
        <is>
          <t>CLASSIC</t>
        </is>
      </c>
      <c r="E94" s="2" t="n">
        <v>66</v>
      </c>
      <c r="F94" s="2" t="n">
        <v>66</v>
      </c>
      <c r="G94" s="2" t="n">
        <v>0</v>
      </c>
      <c r="H94" s="3" t="n">
        <v>0</v>
      </c>
      <c r="I94" s="2" t="n">
        <v>240</v>
      </c>
      <c r="J94" s="2" t="n">
        <v>15840</v>
      </c>
      <c r="K94" s="2" t="n">
        <v>0</v>
      </c>
    </row>
    <row r="95">
      <c r="A95" s="4" t="inlineStr">
        <is>
          <t>PVR Naraina, Community Centre, New Delhi</t>
        </is>
      </c>
      <c r="B95" s="4" t="inlineStr">
        <is>
          <t>AUDI 1</t>
        </is>
      </c>
      <c r="C95" s="4" t="inlineStr">
        <is>
          <t>2025-01-10T14:30</t>
        </is>
      </c>
      <c r="D95" s="4" t="inlineStr">
        <is>
          <t>CLASSIC PLUS</t>
        </is>
      </c>
      <c r="E95" s="4" t="n">
        <v>79</v>
      </c>
      <c r="F95" s="4" t="n">
        <v>138</v>
      </c>
      <c r="G95" s="4" t="n">
        <v>59</v>
      </c>
      <c r="H95" s="5" t="n">
        <v>0.427536231884058</v>
      </c>
      <c r="I95" s="4" t="n">
        <v>280</v>
      </c>
      <c r="J95" s="4" t="n">
        <v>38640</v>
      </c>
      <c r="K95" s="4" t="n">
        <v>16520</v>
      </c>
    </row>
    <row r="96">
      <c r="A96" s="2" t="inlineStr">
        <is>
          <t>PVR Naraina, Community Centre, New Delhi</t>
        </is>
      </c>
      <c r="B96" s="2" t="inlineStr">
        <is>
          <t>AUDI 1</t>
        </is>
      </c>
      <c r="C96" s="2" t="inlineStr">
        <is>
          <t>2025-01-10T14:30</t>
        </is>
      </c>
      <c r="D96" s="2" t="inlineStr">
        <is>
          <t>PRIME</t>
        </is>
      </c>
      <c r="E96" s="2" t="n">
        <v>12</v>
      </c>
      <c r="F96" s="2" t="n">
        <v>61</v>
      </c>
      <c r="G96" s="2" t="n">
        <v>49</v>
      </c>
      <c r="H96" s="3" t="n">
        <v>0.8032786885245902</v>
      </c>
      <c r="I96" s="2" t="n">
        <v>320</v>
      </c>
      <c r="J96" s="2" t="n">
        <v>19520</v>
      </c>
      <c r="K96" s="2" t="n">
        <v>15680</v>
      </c>
    </row>
    <row r="97">
      <c r="A97" s="4" t="inlineStr">
        <is>
          <t>Wave Noida, Noida</t>
        </is>
      </c>
      <c r="B97" s="4" t="inlineStr">
        <is>
          <t>Audi 1</t>
        </is>
      </c>
      <c r="C97" s="4" t="inlineStr">
        <is>
          <t>2025-01-10T11:00</t>
        </is>
      </c>
      <c r="D97" s="4" t="inlineStr">
        <is>
          <t>Classic</t>
        </is>
      </c>
      <c r="E97" s="4" t="n">
        <v>472</v>
      </c>
      <c r="F97" s="4" t="n">
        <v>472</v>
      </c>
      <c r="G97" s="4" t="n">
        <v>0</v>
      </c>
      <c r="H97" s="5" t="n">
        <v>0</v>
      </c>
      <c r="I97" s="4" t="n">
        <v>250</v>
      </c>
      <c r="J97" s="4" t="n">
        <v>118000</v>
      </c>
      <c r="K97" s="4" t="n">
        <v>0</v>
      </c>
    </row>
    <row r="98">
      <c r="A98" s="2" t="inlineStr">
        <is>
          <t>Wave Noida, Noida</t>
        </is>
      </c>
      <c r="B98" s="2" t="inlineStr">
        <is>
          <t>Audi 1</t>
        </is>
      </c>
      <c r="C98" s="2" t="inlineStr">
        <is>
          <t>2025-01-10T11:00</t>
        </is>
      </c>
      <c r="D98" s="2" t="inlineStr">
        <is>
          <t>PLATINUM (PKG)</t>
        </is>
      </c>
      <c r="E98" s="2" t="n">
        <v>17</v>
      </c>
      <c r="F98" s="2" t="n">
        <v>17</v>
      </c>
      <c r="G98" s="2" t="n">
        <v>0</v>
      </c>
      <c r="H98" s="3" t="n">
        <v>0</v>
      </c>
      <c r="I98" s="2" t="n">
        <v>1500</v>
      </c>
      <c r="J98" s="2" t="n">
        <v>25500</v>
      </c>
      <c r="K98" s="2" t="n">
        <v>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CLASSIC</t>
        </is>
      </c>
      <c r="E99" s="4" t="n">
        <v>57</v>
      </c>
      <c r="F99" s="4" t="n">
        <v>58</v>
      </c>
      <c r="G99" s="4" t="n">
        <v>1</v>
      </c>
      <c r="H99" s="5" t="n">
        <v>0.01724137931034483</v>
      </c>
      <c r="I99" s="4" t="n">
        <v>250</v>
      </c>
      <c r="J99" s="4" t="n">
        <v>14500</v>
      </c>
      <c r="K99" s="4" t="n">
        <v>250</v>
      </c>
    </row>
    <row r="100">
      <c r="A100" s="2" t="inlineStr">
        <is>
          <t>PVR IMAX with Laser - Priya, Vasant Vihar, New Delhi</t>
        </is>
      </c>
      <c r="B100" s="2" t="inlineStr">
        <is>
          <t>SCREEN 1</t>
        </is>
      </c>
      <c r="C100" s="2" t="inlineStr">
        <is>
          <t>2025-01-10T04:20</t>
        </is>
      </c>
      <c r="D100" s="2" t="inlineStr">
        <is>
          <t>PRIME</t>
        </is>
      </c>
      <c r="E100" s="2" t="n">
        <v>94</v>
      </c>
      <c r="F100" s="2" t="n">
        <v>119</v>
      </c>
      <c r="G100" s="2" t="n">
        <v>25</v>
      </c>
      <c r="H100" s="3" t="n">
        <v>0.2100840336134454</v>
      </c>
      <c r="I100" s="2" t="n">
        <v>270</v>
      </c>
      <c r="J100" s="2" t="n">
        <v>32130</v>
      </c>
      <c r="K100" s="2" t="n">
        <v>6750</v>
      </c>
    </row>
    <row r="101">
      <c r="A101" s="4" t="inlineStr">
        <is>
          <t>PVR IMAX with Laser - Priya, Vasant Vihar, New Delhi</t>
        </is>
      </c>
      <c r="B101" s="4" t="inlineStr">
        <is>
          <t>SCREEN 1</t>
        </is>
      </c>
      <c r="C101" s="4" t="inlineStr">
        <is>
          <t>2025-01-10T04:20</t>
        </is>
      </c>
      <c r="D101" s="4" t="inlineStr">
        <is>
          <t>RECLINER</t>
        </is>
      </c>
      <c r="E101" s="4" t="n">
        <v>14</v>
      </c>
      <c r="F101" s="4" t="n">
        <v>16</v>
      </c>
      <c r="G101" s="4" t="n">
        <v>2</v>
      </c>
      <c r="H101" s="5" t="n">
        <v>0.125</v>
      </c>
      <c r="I101" s="4" t="n">
        <v>1000</v>
      </c>
      <c r="J101" s="4" t="n">
        <v>16000</v>
      </c>
      <c r="K101" s="4" t="n">
        <v>2000</v>
      </c>
    </row>
    <row r="102">
      <c r="A102" s="2" t="inlineStr">
        <is>
          <t>PVR IMAX with Laser - Priya, Vasant Vihar, New Delhi</t>
        </is>
      </c>
      <c r="B102" s="2" t="inlineStr">
        <is>
          <t>SCREEN 1</t>
        </is>
      </c>
      <c r="C102" s="2" t="inlineStr">
        <is>
          <t>2025-01-10T04:20</t>
        </is>
      </c>
      <c r="D102" s="2" t="inlineStr">
        <is>
          <t>SUPERIOR</t>
        </is>
      </c>
      <c r="E102" s="2" t="n">
        <v>40</v>
      </c>
      <c r="F102" s="2" t="n">
        <v>110</v>
      </c>
      <c r="G102" s="2" t="n">
        <v>70</v>
      </c>
      <c r="H102" s="3" t="n">
        <v>0.6363636363636364</v>
      </c>
      <c r="I102" s="2" t="n">
        <v>320</v>
      </c>
      <c r="J102" s="2" t="n">
        <v>35200</v>
      </c>
      <c r="K102" s="2" t="n">
        <v>22400</v>
      </c>
    </row>
    <row r="103">
      <c r="A103" s="4" t="inlineStr">
        <is>
          <t>PVR Superplex Mall Of India, Sector 18, Noida</t>
        </is>
      </c>
      <c r="B103" s="4" t="inlineStr">
        <is>
          <t>Screen 6</t>
        </is>
      </c>
      <c r="C103" s="4" t="inlineStr">
        <is>
          <t>2025-01-10T10:30</t>
        </is>
      </c>
      <c r="D103" s="4" t="inlineStr">
        <is>
          <t>CLASSIC</t>
        </is>
      </c>
      <c r="E103" s="4" t="n">
        <v>96</v>
      </c>
      <c r="F103" s="4" t="n">
        <v>96</v>
      </c>
      <c r="G103" s="4" t="n">
        <v>0</v>
      </c>
      <c r="H103" s="5" t="n">
        <v>0</v>
      </c>
      <c r="I103" s="4" t="n">
        <v>360</v>
      </c>
      <c r="J103" s="4" t="n">
        <v>34560</v>
      </c>
      <c r="K103" s="4" t="n">
        <v>0</v>
      </c>
    </row>
    <row r="104">
      <c r="A104" s="2" t="inlineStr">
        <is>
          <t>PVR Superplex Mall Of India, Sector 18, Noida</t>
        </is>
      </c>
      <c r="B104" s="2" t="inlineStr">
        <is>
          <t>Screen 6</t>
        </is>
      </c>
      <c r="C104" s="2" t="inlineStr">
        <is>
          <t>2025-01-10T10:30</t>
        </is>
      </c>
      <c r="D104" s="2" t="inlineStr">
        <is>
          <t>PRIME</t>
        </is>
      </c>
      <c r="E104" s="2" t="n">
        <v>64</v>
      </c>
      <c r="F104" s="2" t="n">
        <v>64</v>
      </c>
      <c r="G104" s="2" t="n">
        <v>0</v>
      </c>
      <c r="H104" s="3" t="n">
        <v>0</v>
      </c>
      <c r="I104" s="2" t="n">
        <v>380</v>
      </c>
      <c r="J104" s="2" t="n">
        <v>24320</v>
      </c>
      <c r="K104" s="2" t="n">
        <v>0</v>
      </c>
    </row>
    <row r="105">
      <c r="A105" s="4" t="inlineStr">
        <is>
          <t>PVR Anupam Saket, Ashok Vihar, New Delhi</t>
        </is>
      </c>
      <c r="B105" s="4" t="inlineStr">
        <is>
          <t>AUDI 04</t>
        </is>
      </c>
      <c r="C105" s="4" t="inlineStr">
        <is>
          <t>2025-01-10T11:00</t>
        </is>
      </c>
      <c r="D105" s="4" t="inlineStr">
        <is>
          <t>CLASSIC</t>
        </is>
      </c>
      <c r="E105" s="4" t="n">
        <v>127</v>
      </c>
      <c r="F105" s="4" t="n">
        <v>135</v>
      </c>
      <c r="G105" s="4" t="n">
        <v>8</v>
      </c>
      <c r="H105" s="5" t="n">
        <v>0.05925925925925926</v>
      </c>
      <c r="I105" s="4" t="n">
        <v>280</v>
      </c>
      <c r="J105" s="4" t="n">
        <v>37800</v>
      </c>
      <c r="K105" s="4" t="n">
        <v>2240</v>
      </c>
    </row>
    <row r="106">
      <c r="A106" s="2" t="inlineStr">
        <is>
          <t>PVR Anupam Saket, Ashok Vihar, New Delhi</t>
        </is>
      </c>
      <c r="B106" s="2" t="inlineStr">
        <is>
          <t>AUDI 04</t>
        </is>
      </c>
      <c r="C106" s="2" t="inlineStr">
        <is>
          <t>2025-01-10T11:00</t>
        </is>
      </c>
      <c r="D106" s="2" t="inlineStr">
        <is>
          <t>PRIME</t>
        </is>
      </c>
      <c r="E106" s="2" t="n">
        <v>96</v>
      </c>
      <c r="F106" s="2" t="n">
        <v>120</v>
      </c>
      <c r="G106" s="2" t="n">
        <v>24</v>
      </c>
      <c r="H106" s="3" t="n">
        <v>0.2</v>
      </c>
      <c r="I106" s="2" t="n">
        <v>310</v>
      </c>
      <c r="J106" s="2" t="n">
        <v>37200</v>
      </c>
      <c r="K106" s="2" t="n">
        <v>7440</v>
      </c>
    </row>
    <row r="107">
      <c r="A107" s="4" t="inlineStr">
        <is>
          <t>PVR Anupam Saket, Ashok Vihar, New Delhi</t>
        </is>
      </c>
      <c r="B107" s="4" t="inlineStr">
        <is>
          <t>AUDI 04</t>
        </is>
      </c>
      <c r="C107" s="4" t="inlineStr">
        <is>
          <t>2025-01-10T11:00</t>
        </is>
      </c>
      <c r="D107" s="4" t="inlineStr">
        <is>
          <t>RECLINER</t>
        </is>
      </c>
      <c r="E107" s="4" t="n">
        <v>10</v>
      </c>
      <c r="F107" s="4" t="n">
        <v>13</v>
      </c>
      <c r="G107" s="4" t="n">
        <v>3</v>
      </c>
      <c r="H107" s="5" t="n">
        <v>0.2307692307692308</v>
      </c>
      <c r="I107" s="4" t="n">
        <v>570</v>
      </c>
      <c r="J107" s="4" t="n">
        <v>7410</v>
      </c>
      <c r="K107" s="4" t="n">
        <v>1710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NORMAL</t>
        </is>
      </c>
      <c r="E108" s="2" t="n">
        <v>15</v>
      </c>
      <c r="F108" s="2" t="n">
        <v>15</v>
      </c>
      <c r="G108" s="2" t="n">
        <v>0</v>
      </c>
      <c r="H108" s="3" t="n">
        <v>0</v>
      </c>
      <c r="I108" s="2" t="n">
        <v>440</v>
      </c>
      <c r="J108" s="2" t="n">
        <v>6600</v>
      </c>
      <c r="K108" s="2" t="n">
        <v>0</v>
      </c>
    </row>
    <row r="109">
      <c r="A109" s="4" t="inlineStr">
        <is>
          <t>Cinepolis DLF Avenue, Saket, New Delhi</t>
        </is>
      </c>
      <c r="B109" s="4" t="inlineStr">
        <is>
          <t>SCREEN 2</t>
        </is>
      </c>
      <c r="C109" s="4" t="inlineStr">
        <is>
          <t>2025-01-10T13:50</t>
        </is>
      </c>
      <c r="D109" s="4" t="inlineStr">
        <is>
          <t>EXECUTIVE</t>
        </is>
      </c>
      <c r="E109" s="4" t="n">
        <v>20</v>
      </c>
      <c r="F109" s="4" t="n">
        <v>30</v>
      </c>
      <c r="G109" s="4" t="n">
        <v>10</v>
      </c>
      <c r="H109" s="5" t="n">
        <v>0.3333333333333333</v>
      </c>
      <c r="I109" s="4" t="n">
        <v>480</v>
      </c>
      <c r="J109" s="4" t="n">
        <v>14400</v>
      </c>
      <c r="K109" s="4" t="n">
        <v>4800</v>
      </c>
    </row>
    <row r="110">
      <c r="A110" s="2" t="inlineStr">
        <is>
          <t>Cinepolis DLF Avenue, Saket, New Delhi</t>
        </is>
      </c>
      <c r="B110" s="2" t="inlineStr">
        <is>
          <t>SCREEN 2</t>
        </is>
      </c>
      <c r="C110" s="2" t="inlineStr">
        <is>
          <t>2025-01-10T13:50</t>
        </is>
      </c>
      <c r="D110" s="2" t="inlineStr">
        <is>
          <t>PREMIUM</t>
        </is>
      </c>
      <c r="E110" s="2" t="n">
        <v>0</v>
      </c>
      <c r="F110" s="2" t="n">
        <v>111</v>
      </c>
      <c r="G110" s="2" t="n">
        <v>111</v>
      </c>
      <c r="H110" s="3" t="n">
        <v>1</v>
      </c>
      <c r="I110" s="2" t="n">
        <v>500</v>
      </c>
      <c r="J110" s="2" t="n">
        <v>55500</v>
      </c>
      <c r="K110" s="2" t="n">
        <v>55500</v>
      </c>
    </row>
    <row r="111">
      <c r="A111" s="4" t="inlineStr">
        <is>
          <t>Cinepolis DLF Avenue, Saket, New Delhi</t>
        </is>
      </c>
      <c r="B111" s="4" t="inlineStr">
        <is>
          <t>SCREEN 2</t>
        </is>
      </c>
      <c r="C111" s="4" t="inlineStr">
        <is>
          <t>2025-01-10T13:50</t>
        </is>
      </c>
      <c r="D111" s="4" t="inlineStr">
        <is>
          <t>VIP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1000</v>
      </c>
      <c r="J111" s="4" t="n">
        <v>11000</v>
      </c>
      <c r="K111" s="4" t="n">
        <v>11000</v>
      </c>
    </row>
    <row r="112">
      <c r="A112" s="2" t="inlineStr">
        <is>
          <t>PVR Gaur City, Gaur City Mall, Greater Noida</t>
        </is>
      </c>
      <c r="B112" s="2" t="inlineStr">
        <is>
          <t>AUDI 01</t>
        </is>
      </c>
      <c r="C112" s="2" t="inlineStr">
        <is>
          <t>2025-01-10T12:35</t>
        </is>
      </c>
      <c r="D112" s="2" t="inlineStr">
        <is>
          <t>CLASSIC</t>
        </is>
      </c>
      <c r="E112" s="2" t="n">
        <v>87</v>
      </c>
      <c r="F112" s="2" t="n">
        <v>92</v>
      </c>
      <c r="G112" s="2" t="n">
        <v>5</v>
      </c>
      <c r="H112" s="3" t="n">
        <v>0.05434782608695652</v>
      </c>
      <c r="I112" s="2" t="n">
        <v>240</v>
      </c>
      <c r="J112" s="2" t="n">
        <v>22080</v>
      </c>
      <c r="K112" s="2" t="n">
        <v>1200</v>
      </c>
    </row>
    <row r="113">
      <c r="A113" s="4" t="inlineStr">
        <is>
          <t>PVR Gaur City, Gaur City Mall, Greater Noida</t>
        </is>
      </c>
      <c r="B113" s="4" t="inlineStr">
        <is>
          <t>AUDI 01</t>
        </is>
      </c>
      <c r="C113" s="4" t="inlineStr">
        <is>
          <t>2025-01-10T12:35</t>
        </is>
      </c>
      <c r="D113" s="4" t="inlineStr">
        <is>
          <t>PRIME</t>
        </is>
      </c>
      <c r="E113" s="4" t="n">
        <v>7</v>
      </c>
      <c r="F113" s="4" t="n">
        <v>13</v>
      </c>
      <c r="G113" s="4" t="n">
        <v>6</v>
      </c>
      <c r="H113" s="5" t="n">
        <v>0.4615384615384616</v>
      </c>
      <c r="I113" s="4" t="n">
        <v>270</v>
      </c>
      <c r="J113" s="4" t="n">
        <v>3510</v>
      </c>
      <c r="K113" s="4" t="n">
        <v>1620</v>
      </c>
    </row>
    <row r="114">
      <c r="A114" s="2" t="inlineStr">
        <is>
          <t>PVR MGF Mall, Metropolitan Mall, Gurugram</t>
        </is>
      </c>
      <c r="B114" s="2" t="inlineStr">
        <is>
          <t>SCREEN 2</t>
        </is>
      </c>
      <c r="C114" s="2" t="inlineStr">
        <is>
          <t>2025-01-10T04:25</t>
        </is>
      </c>
      <c r="D114" s="2" t="inlineStr">
        <is>
          <t>CLASSIC</t>
        </is>
      </c>
      <c r="E114" s="2" t="n">
        <v>52</v>
      </c>
      <c r="F114" s="2" t="n">
        <v>52</v>
      </c>
      <c r="G114" s="2" t="n">
        <v>0</v>
      </c>
      <c r="H114" s="3" t="n">
        <v>0</v>
      </c>
      <c r="I114" s="2" t="n">
        <v>250</v>
      </c>
      <c r="J114" s="2" t="n">
        <v>13000</v>
      </c>
      <c r="K114" s="2" t="n">
        <v>0</v>
      </c>
    </row>
    <row r="115">
      <c r="A115" s="4" t="inlineStr">
        <is>
          <t>PVR MGF Mall, Metropolitan Mall, Gurugram</t>
        </is>
      </c>
      <c r="B115" s="4" t="inlineStr">
        <is>
          <t>SCREEN 2</t>
        </is>
      </c>
      <c r="C115" s="4" t="inlineStr">
        <is>
          <t>2025-01-10T04:25</t>
        </is>
      </c>
      <c r="D115" s="4" t="inlineStr">
        <is>
          <t>PRIME</t>
        </is>
      </c>
      <c r="E115" s="4" t="n">
        <v>77</v>
      </c>
      <c r="F115" s="4" t="n">
        <v>100</v>
      </c>
      <c r="G115" s="4" t="n">
        <v>23</v>
      </c>
      <c r="H115" s="5" t="n">
        <v>0.23</v>
      </c>
      <c r="I115" s="4" t="n">
        <v>250</v>
      </c>
      <c r="J115" s="4" t="n">
        <v>25000</v>
      </c>
      <c r="K115" s="4" t="n">
        <v>5750</v>
      </c>
    </row>
    <row r="116">
      <c r="A116" s="2" t="inlineStr">
        <is>
          <t>Cinepolis Modi Mall (Formerly Spice Mall), Noida</t>
        </is>
      </c>
      <c r="B116" s="2" t="inlineStr">
        <is>
          <t>AUDI 3</t>
        </is>
      </c>
      <c r="C116" s="2" t="inlineStr">
        <is>
          <t>2025-01-10T13:55</t>
        </is>
      </c>
      <c r="D116" s="2" t="inlineStr">
        <is>
          <t>CLASSIC</t>
        </is>
      </c>
      <c r="E116" s="2" t="n">
        <v>171</v>
      </c>
      <c r="F116" s="2" t="n">
        <v>171</v>
      </c>
      <c r="G116" s="2" t="n">
        <v>0</v>
      </c>
      <c r="H116" s="3" t="n">
        <v>0</v>
      </c>
      <c r="I116" s="2" t="n">
        <v>240</v>
      </c>
      <c r="J116" s="2" t="n">
        <v>41040</v>
      </c>
      <c r="K116" s="2" t="n">
        <v>0</v>
      </c>
    </row>
    <row r="117">
      <c r="A117" s="4" t="inlineStr">
        <is>
          <t>Cinepolis Modi Mall (Formerly Spice Mall), Noida</t>
        </is>
      </c>
      <c r="B117" s="4" t="inlineStr">
        <is>
          <t>AUDI 3</t>
        </is>
      </c>
      <c r="C117" s="4" t="inlineStr">
        <is>
          <t>2025-01-10T13:55</t>
        </is>
      </c>
      <c r="D117" s="4" t="inlineStr">
        <is>
          <t>PREMIUM</t>
        </is>
      </c>
      <c r="E117" s="4" t="n">
        <v>67</v>
      </c>
      <c r="F117" s="4" t="n">
        <v>86</v>
      </c>
      <c r="G117" s="4" t="n">
        <v>19</v>
      </c>
      <c r="H117" s="5" t="n">
        <v>0.2209302325581395</v>
      </c>
      <c r="I117" s="4" t="n">
        <v>250</v>
      </c>
      <c r="J117" s="4" t="n">
        <v>21500</v>
      </c>
      <c r="K117" s="4" t="n">
        <v>4750</v>
      </c>
    </row>
    <row r="118">
      <c r="A118" s="6" t="inlineStr">
        <is>
          <t>Total</t>
        </is>
      </c>
      <c r="B118" s="6" t="inlineStr"/>
      <c r="C118" s="6" t="inlineStr"/>
      <c r="D118" s="6" t="inlineStr"/>
      <c r="E118" s="6">
        <f>SUM(E2:E117)</f>
        <v/>
      </c>
      <c r="F118" s="6">
        <f>SUM(F2:F117)</f>
        <v/>
      </c>
      <c r="G118" s="6">
        <f>SUM(G2:G117)</f>
        <v/>
      </c>
      <c r="H118" s="7" t="inlineStr"/>
      <c r="I118" s="6">
        <f>SUM(I2:I117)</f>
        <v/>
      </c>
      <c r="J118" s="6">
        <f>SUM(J2:J117)</f>
        <v/>
      </c>
      <c r="K118" s="6">
        <f>SUM(K2:K117)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229</v>
      </c>
      <c r="E2" s="2" t="n">
        <v>262</v>
      </c>
      <c r="F2" s="2" t="n">
        <v>33</v>
      </c>
      <c r="G2" s="3" t="n">
        <v>0.1259541984732824</v>
      </c>
      <c r="H2" s="2" t="n">
        <v>53740</v>
      </c>
      <c r="I2" s="2" t="n">
        <v>7230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211</v>
      </c>
      <c r="E9" s="4" t="n">
        <v>223</v>
      </c>
      <c r="F9" s="4" t="n">
        <v>12</v>
      </c>
      <c r="G9" s="5" t="n">
        <v>0.05381165919282511</v>
      </c>
      <c r="H9" s="4" t="n">
        <v>44430</v>
      </c>
      <c r="I9" s="4" t="n">
        <v>2460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112</v>
      </c>
      <c r="E14" s="2" t="n">
        <v>117</v>
      </c>
      <c r="F14" s="2" t="n">
        <v>5</v>
      </c>
      <c r="G14" s="3" t="n">
        <v>0.04273504273504274</v>
      </c>
      <c r="H14" s="2" t="n">
        <v>46890</v>
      </c>
      <c r="I14" s="2" t="n">
        <v>2130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IMAX</t>
        </is>
      </c>
      <c r="C17" s="4" t="inlineStr">
        <is>
          <t>2025-01-10T04:00</t>
        </is>
      </c>
      <c r="D17" s="4" t="n">
        <v>291</v>
      </c>
      <c r="E17" s="4" t="n">
        <v>308</v>
      </c>
      <c r="F17" s="4" t="n">
        <v>17</v>
      </c>
      <c r="G17" s="5" t="n">
        <v>0.05519480519480519</v>
      </c>
      <c r="H17" s="4" t="n">
        <v>118080</v>
      </c>
      <c r="I17" s="4" t="n">
        <v>6120</v>
      </c>
    </row>
    <row r="18">
      <c r="A18" s="2" t="inlineStr">
        <is>
          <t>PVR Superplex Logix, Sector 32, Noida</t>
        </is>
      </c>
      <c r="B18" s="2" t="inlineStr">
        <is>
          <t>AUDI 10</t>
        </is>
      </c>
      <c r="C18" s="2" t="inlineStr">
        <is>
          <t>2025-01-10T12:00</t>
        </is>
      </c>
      <c r="D18" s="2" t="n">
        <v>67</v>
      </c>
      <c r="E18" s="2" t="n">
        <v>88</v>
      </c>
      <c r="F18" s="2" t="n">
        <v>21</v>
      </c>
      <c r="G18" s="3" t="n">
        <v>0.2386363636363636</v>
      </c>
      <c r="H18" s="2" t="n">
        <v>25080</v>
      </c>
      <c r="I18" s="2" t="n">
        <v>5985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104</v>
      </c>
      <c r="E22" s="2" t="n">
        <v>135</v>
      </c>
      <c r="F22" s="2" t="n">
        <v>31</v>
      </c>
      <c r="G22" s="3" t="n">
        <v>0.2296296296296296</v>
      </c>
      <c r="H22" s="2" t="n">
        <v>42920</v>
      </c>
      <c r="I22" s="2" t="n">
        <v>11540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253</v>
      </c>
      <c r="E23" s="4" t="n">
        <v>263</v>
      </c>
      <c r="F23" s="4" t="n">
        <v>10</v>
      </c>
      <c r="G23" s="5" t="n">
        <v>0.03802281368821293</v>
      </c>
      <c r="H23" s="4" t="n">
        <v>71010</v>
      </c>
      <c r="I23" s="4" t="n">
        <v>2700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217</v>
      </c>
      <c r="E24" s="2" t="n">
        <v>263</v>
      </c>
      <c r="F24" s="2" t="n">
        <v>46</v>
      </c>
      <c r="G24" s="3" t="n">
        <v>0.1749049429657795</v>
      </c>
      <c r="H24" s="2" t="n">
        <v>71010</v>
      </c>
      <c r="I24" s="2" t="n">
        <v>12420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85</v>
      </c>
      <c r="E27" s="4" t="n">
        <v>123</v>
      </c>
      <c r="F27" s="4" t="n">
        <v>38</v>
      </c>
      <c r="G27" s="5" t="n">
        <v>0.3089430894308943</v>
      </c>
      <c r="H27" s="4" t="n">
        <v>43030</v>
      </c>
      <c r="I27" s="4" t="n">
        <v>15180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205</v>
      </c>
      <c r="E29" s="4" t="n">
        <v>244</v>
      </c>
      <c r="F29" s="4" t="n">
        <v>39</v>
      </c>
      <c r="G29" s="5" t="n">
        <v>0.1598360655737705</v>
      </c>
      <c r="H29" s="4" t="n">
        <v>74100</v>
      </c>
      <c r="I29" s="4" t="n">
        <v>12170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2025-01-10T10:30</t>
        </is>
      </c>
      <c r="D30" s="2" t="n">
        <v>277</v>
      </c>
      <c r="E30" s="2" t="n">
        <v>352</v>
      </c>
      <c r="F30" s="2" t="n">
        <v>75</v>
      </c>
      <c r="G30" s="3" t="n">
        <v>0.2130681818181818</v>
      </c>
      <c r="H30" s="2" t="n">
        <v>98720</v>
      </c>
      <c r="I30" s="2" t="n">
        <v>22320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2025-01-10T03:30</t>
        </is>
      </c>
      <c r="D31" s="4" t="n">
        <v>65</v>
      </c>
      <c r="E31" s="4" t="n">
        <v>352</v>
      </c>
      <c r="F31" s="4" t="n">
        <v>287</v>
      </c>
      <c r="G31" s="5" t="n">
        <v>0.8153409090909091</v>
      </c>
      <c r="H31" s="4" t="n">
        <v>85270</v>
      </c>
      <c r="I31" s="4" t="n">
        <v>70290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RR Cinema Jaipuria Mall, Indirapuram, Ghaziabad</t>
        </is>
      </c>
      <c r="B34" s="2" t="inlineStr">
        <is>
          <t>AUDI 2</t>
        </is>
      </c>
      <c r="C34" s="2" t="inlineStr">
        <is>
          <t>2025-01-10T13:50</t>
        </is>
      </c>
      <c r="D34" s="2" t="n">
        <v>322</v>
      </c>
      <c r="E34" s="2" t="n">
        <v>361</v>
      </c>
      <c r="F34" s="2" t="n">
        <v>39</v>
      </c>
      <c r="G34" s="3" t="n">
        <v>0.1080332409972299</v>
      </c>
      <c r="H34" s="2" t="n">
        <v>79150</v>
      </c>
      <c r="I34" s="2" t="n">
        <v>8840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2025-01-10T12:30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79200</v>
      </c>
      <c r="I35" s="4" t="n">
        <v>8480</v>
      </c>
    </row>
    <row r="36">
      <c r="A36" s="2" t="inlineStr">
        <is>
          <t>Cineport Cinemas, MSX Mall, Greater Noida</t>
        </is>
      </c>
      <c r="B36" s="2" t="inlineStr">
        <is>
          <t>SCREEN 3</t>
        </is>
      </c>
      <c r="C36" s="2" t="inlineStr">
        <is>
          <t>2025-01-10T03:30</t>
        </is>
      </c>
      <c r="D36" s="2" t="n">
        <v>331</v>
      </c>
      <c r="E36" s="2" t="n">
        <v>365</v>
      </c>
      <c r="F36" s="2" t="n">
        <v>34</v>
      </c>
      <c r="G36" s="3" t="n">
        <v>0.09315068493150686</v>
      </c>
      <c r="H36" s="2" t="n">
        <v>64600</v>
      </c>
      <c r="I36" s="2" t="n">
        <v>7120</v>
      </c>
    </row>
    <row r="37">
      <c r="A37" s="4" t="inlineStr">
        <is>
          <t>PVR Naraina, Community Centre, New Delhi</t>
        </is>
      </c>
      <c r="B37" s="4" t="inlineStr">
        <is>
          <t>AUDI 1</t>
        </is>
      </c>
      <c r="C37" s="4" t="inlineStr">
        <is>
          <t>2025-01-10T14:30</t>
        </is>
      </c>
      <c r="D37" s="4" t="n">
        <v>157</v>
      </c>
      <c r="E37" s="4" t="n">
        <v>265</v>
      </c>
      <c r="F37" s="4" t="n">
        <v>108</v>
      </c>
      <c r="G37" s="5" t="n">
        <v>0.4075471698113208</v>
      </c>
      <c r="H37" s="4" t="n">
        <v>74000</v>
      </c>
      <c r="I37" s="4" t="n">
        <v>32200</v>
      </c>
    </row>
    <row r="38">
      <c r="A38" s="2" t="inlineStr">
        <is>
          <t>Wave Noida, Noida</t>
        </is>
      </c>
      <c r="B38" s="2" t="inlineStr">
        <is>
          <t>Audi 1</t>
        </is>
      </c>
      <c r="C38" s="2" t="inlineStr">
        <is>
          <t>2025-01-10T11:00</t>
        </is>
      </c>
      <c r="D38" s="2" t="n">
        <v>489</v>
      </c>
      <c r="E38" s="2" t="n">
        <v>489</v>
      </c>
      <c r="F38" s="2" t="n">
        <v>0</v>
      </c>
      <c r="G38" s="3" t="n">
        <v>0</v>
      </c>
      <c r="H38" s="2" t="n">
        <v>143500</v>
      </c>
      <c r="I38" s="2" t="n">
        <v>0</v>
      </c>
    </row>
    <row r="39">
      <c r="A39" s="4" t="inlineStr">
        <is>
          <t>PVR IMAX with Laser - Priya, Vasant Vihar, New Delhi</t>
        </is>
      </c>
      <c r="B39" s="4" t="inlineStr">
        <is>
          <t>SCREEN 1</t>
        </is>
      </c>
      <c r="C39" s="4" t="inlineStr">
        <is>
          <t>2025-01-10T04:20</t>
        </is>
      </c>
      <c r="D39" s="4" t="n">
        <v>205</v>
      </c>
      <c r="E39" s="4" t="n">
        <v>303</v>
      </c>
      <c r="F39" s="4" t="n">
        <v>98</v>
      </c>
      <c r="G39" s="5" t="n">
        <v>0.3234323432343234</v>
      </c>
      <c r="H39" s="4" t="n">
        <v>97830</v>
      </c>
      <c r="I39" s="4" t="n">
        <v>31400</v>
      </c>
    </row>
    <row r="40">
      <c r="A40" s="2" t="inlineStr">
        <is>
          <t>PVR Superplex Mall Of India, Sector 18, Noida</t>
        </is>
      </c>
      <c r="B40" s="2" t="inlineStr">
        <is>
          <t>Screen 6</t>
        </is>
      </c>
      <c r="C40" s="2" t="inlineStr">
        <is>
          <t>2025-01-10T10:30</t>
        </is>
      </c>
      <c r="D40" s="2" t="n">
        <v>160</v>
      </c>
      <c r="E40" s="2" t="n">
        <v>160</v>
      </c>
      <c r="F40" s="2" t="n">
        <v>0</v>
      </c>
      <c r="G40" s="3" t="n">
        <v>0</v>
      </c>
      <c r="H40" s="2" t="n">
        <v>58880</v>
      </c>
      <c r="I40" s="2" t="n">
        <v>0</v>
      </c>
    </row>
    <row r="41">
      <c r="A41" s="4" t="inlineStr">
        <is>
          <t>PVR Anupam Saket, Ashok Vihar, New Delhi</t>
        </is>
      </c>
      <c r="B41" s="4" t="inlineStr">
        <is>
          <t>AUDI 04</t>
        </is>
      </c>
      <c r="C41" s="4" t="inlineStr">
        <is>
          <t>2025-01-10T11:00</t>
        </is>
      </c>
      <c r="D41" s="4" t="n">
        <v>233</v>
      </c>
      <c r="E41" s="4" t="n">
        <v>268</v>
      </c>
      <c r="F41" s="4" t="n">
        <v>35</v>
      </c>
      <c r="G41" s="5" t="n">
        <v>0.1305970149253731</v>
      </c>
      <c r="H41" s="4" t="n">
        <v>82410</v>
      </c>
      <c r="I41" s="4" t="n">
        <v>11390</v>
      </c>
    </row>
    <row r="42">
      <c r="A42" s="2" t="inlineStr">
        <is>
          <t>Cinepolis DLF Avenue, Saket, New Delhi</t>
        </is>
      </c>
      <c r="B42" s="2" t="inlineStr">
        <is>
          <t>SCREEN 2</t>
        </is>
      </c>
      <c r="C42" s="2" t="inlineStr">
        <is>
          <t>2025-01-10T13:50</t>
        </is>
      </c>
      <c r="D42" s="2" t="n">
        <v>35</v>
      </c>
      <c r="E42" s="2" t="n">
        <v>167</v>
      </c>
      <c r="F42" s="2" t="n">
        <v>132</v>
      </c>
      <c r="G42" s="3" t="n">
        <v>0.7904191616766467</v>
      </c>
      <c r="H42" s="2" t="n">
        <v>87500</v>
      </c>
      <c r="I42" s="2" t="n">
        <v>71300</v>
      </c>
    </row>
    <row r="43">
      <c r="A43" s="4" t="inlineStr">
        <is>
          <t>PVR Gaur City, Gaur City Mall, Greater Noida</t>
        </is>
      </c>
      <c r="B43" s="4" t="inlineStr">
        <is>
          <t>AUDI 01</t>
        </is>
      </c>
      <c r="C43" s="4" t="inlineStr">
        <is>
          <t>2025-01-10T12:35</t>
        </is>
      </c>
      <c r="D43" s="4" t="n">
        <v>94</v>
      </c>
      <c r="E43" s="4" t="n">
        <v>105</v>
      </c>
      <c r="F43" s="4" t="n">
        <v>11</v>
      </c>
      <c r="G43" s="5" t="n">
        <v>0.1047619047619048</v>
      </c>
      <c r="H43" s="4" t="n">
        <v>25590</v>
      </c>
      <c r="I43" s="4" t="n">
        <v>2820</v>
      </c>
    </row>
    <row r="44">
      <c r="A44" s="2" t="inlineStr">
        <is>
          <t>PVR MGF Mall, Metropolitan Mall, Gurugram</t>
        </is>
      </c>
      <c r="B44" s="2" t="inlineStr">
        <is>
          <t>SCREEN 2</t>
        </is>
      </c>
      <c r="C44" s="2" t="inlineStr">
        <is>
          <t>2025-01-10T04:25</t>
        </is>
      </c>
      <c r="D44" s="2" t="n">
        <v>129</v>
      </c>
      <c r="E44" s="2" t="n">
        <v>152</v>
      </c>
      <c r="F44" s="2" t="n">
        <v>23</v>
      </c>
      <c r="G44" s="3" t="n">
        <v>0.1513157894736842</v>
      </c>
      <c r="H44" s="2" t="n">
        <v>38000</v>
      </c>
      <c r="I44" s="2" t="n">
        <v>5750</v>
      </c>
    </row>
    <row r="45">
      <c r="A45" s="4" t="inlineStr">
        <is>
          <t>Cinepolis Modi Mall (Formerly Spice Mall), Noida</t>
        </is>
      </c>
      <c r="B45" s="4" t="inlineStr">
        <is>
          <t>AUDI 3</t>
        </is>
      </c>
      <c r="C45" s="4" t="inlineStr">
        <is>
          <t>2025-01-10T13:55</t>
        </is>
      </c>
      <c r="D45" s="4" t="n">
        <v>238</v>
      </c>
      <c r="E45" s="4" t="n">
        <v>257</v>
      </c>
      <c r="F45" s="4" t="n">
        <v>19</v>
      </c>
      <c r="G45" s="5" t="n">
        <v>0.07392996108949416</v>
      </c>
      <c r="H45" s="4" t="n">
        <v>62540</v>
      </c>
      <c r="I45" s="4" t="n">
        <v>4750</v>
      </c>
    </row>
    <row r="46">
      <c r="A46" s="6" t="inlineStr">
        <is>
          <t>Total</t>
        </is>
      </c>
      <c r="B46" s="6" t="inlineStr"/>
      <c r="C46" s="6" t="inlineStr"/>
      <c r="D46" s="6">
        <f>SUM(D2:D45)</f>
        <v/>
      </c>
      <c r="E46" s="6">
        <f>SUM(E2:E45)</f>
        <v/>
      </c>
      <c r="F46" s="6">
        <f>SUM(F2:F45)</f>
        <v/>
      </c>
      <c r="G46" s="7" t="inlineStr"/>
      <c r="H46" s="6">
        <f>SUM(H2:H45)</f>
        <v/>
      </c>
      <c r="I46" s="6">
        <f>SUM(I2:I45)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229</v>
      </c>
      <c r="C2" s="2" t="n">
        <v>262</v>
      </c>
      <c r="D2" s="2" t="n">
        <v>33</v>
      </c>
      <c r="E2" s="3" t="n">
        <v>0.1259541984732824</v>
      </c>
      <c r="F2" s="2" t="n">
        <v>53740</v>
      </c>
      <c r="G2" s="2" t="n">
        <v>7230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211</v>
      </c>
      <c r="C7" s="4" t="n">
        <v>223</v>
      </c>
      <c r="D7" s="4" t="n">
        <v>12</v>
      </c>
      <c r="E7" s="5" t="n">
        <v>0.05381165919282511</v>
      </c>
      <c r="F7" s="4" t="n">
        <v>44430</v>
      </c>
      <c r="G7" s="4" t="n">
        <v>2460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112</v>
      </c>
      <c r="C11" s="4" t="n">
        <v>117</v>
      </c>
      <c r="D11" s="4" t="n">
        <v>5</v>
      </c>
      <c r="E11" s="5" t="n">
        <v>0.04273504273504274</v>
      </c>
      <c r="F11" s="4" t="n">
        <v>46890</v>
      </c>
      <c r="G11" s="4" t="n">
        <v>2130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104</v>
      </c>
      <c r="C17" s="4" t="n">
        <v>135</v>
      </c>
      <c r="D17" s="4" t="n">
        <v>31</v>
      </c>
      <c r="E17" s="5" t="n">
        <v>0.2296296296296296</v>
      </c>
      <c r="F17" s="4" t="n">
        <v>42920</v>
      </c>
      <c r="G17" s="4" t="n">
        <v>11540</v>
      </c>
    </row>
    <row r="18">
      <c r="A18" s="2" t="inlineStr">
        <is>
          <t>Miraj Cinemas TGIP, Noida</t>
        </is>
      </c>
      <c r="B18" s="2" t="n">
        <v>470</v>
      </c>
      <c r="C18" s="2" t="n">
        <v>526</v>
      </c>
      <c r="D18" s="2" t="n">
        <v>56</v>
      </c>
      <c r="E18" s="3" t="n">
        <v>0.1064638783269962</v>
      </c>
      <c r="F18" s="2" t="n">
        <v>142020</v>
      </c>
      <c r="G18" s="2" t="n">
        <v>15120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85</v>
      </c>
      <c r="C21" s="4" t="n">
        <v>123</v>
      </c>
      <c r="D21" s="4" t="n">
        <v>38</v>
      </c>
      <c r="E21" s="5" t="n">
        <v>0.3089430894308943</v>
      </c>
      <c r="F21" s="4" t="n">
        <v>43030</v>
      </c>
      <c r="G21" s="4" t="n">
        <v>15180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205</v>
      </c>
      <c r="C23" s="4" t="n">
        <v>244</v>
      </c>
      <c r="D23" s="4" t="n">
        <v>39</v>
      </c>
      <c r="E23" s="5" t="n">
        <v>0.1598360655737705</v>
      </c>
      <c r="F23" s="4" t="n">
        <v>74100</v>
      </c>
      <c r="G23" s="4" t="n">
        <v>12170</v>
      </c>
    </row>
    <row r="24">
      <c r="A24" s="2" t="inlineStr">
        <is>
          <t>INOX Patel Nagar, New Delhi</t>
        </is>
      </c>
      <c r="B24" s="2" t="n">
        <v>342</v>
      </c>
      <c r="C24" s="2" t="n">
        <v>704</v>
      </c>
      <c r="D24" s="2" t="n">
        <v>362</v>
      </c>
      <c r="E24" s="3" t="n">
        <v>0.5142045454545454</v>
      </c>
      <c r="F24" s="2" t="n">
        <v>183990</v>
      </c>
      <c r="G24" s="2" t="n">
        <v>92610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RR Cinema Jaipuria Mall, Indirapuram, Ghaziabad</t>
        </is>
      </c>
      <c r="B27" s="4" t="n">
        <v>322</v>
      </c>
      <c r="C27" s="4" t="n">
        <v>361</v>
      </c>
      <c r="D27" s="4" t="n">
        <v>39</v>
      </c>
      <c r="E27" s="5" t="n">
        <v>0.1080332409972299</v>
      </c>
      <c r="F27" s="4" t="n">
        <v>79150</v>
      </c>
      <c r="G27" s="4" t="n">
        <v>8840</v>
      </c>
    </row>
    <row r="28">
      <c r="A28" s="2" t="inlineStr">
        <is>
          <t>Cineport Cinemas, MSX Mall, Greater Noida</t>
        </is>
      </c>
      <c r="B28" s="2" t="n">
        <v>662</v>
      </c>
      <c r="C28" s="2" t="n">
        <v>730</v>
      </c>
      <c r="D28" s="2" t="n">
        <v>68</v>
      </c>
      <c r="E28" s="3" t="n">
        <v>0.09315068493150686</v>
      </c>
      <c r="F28" s="2" t="n">
        <v>143800</v>
      </c>
      <c r="G28" s="2" t="n">
        <v>15600</v>
      </c>
    </row>
    <row r="29">
      <c r="A29" s="4" t="inlineStr">
        <is>
          <t>PVR Naraina, Community Centre, New Delhi</t>
        </is>
      </c>
      <c r="B29" s="4" t="n">
        <v>157</v>
      </c>
      <c r="C29" s="4" t="n">
        <v>265</v>
      </c>
      <c r="D29" s="4" t="n">
        <v>108</v>
      </c>
      <c r="E29" s="5" t="n">
        <v>0.4075471698113208</v>
      </c>
      <c r="F29" s="4" t="n">
        <v>74000</v>
      </c>
      <c r="G29" s="4" t="n">
        <v>32200</v>
      </c>
    </row>
    <row r="30">
      <c r="A30" s="2" t="inlineStr">
        <is>
          <t>Wave Noida, Noida</t>
        </is>
      </c>
      <c r="B30" s="2" t="n">
        <v>489</v>
      </c>
      <c r="C30" s="2" t="n">
        <v>489</v>
      </c>
      <c r="D30" s="2" t="n">
        <v>0</v>
      </c>
      <c r="E30" s="3" t="n">
        <v>0</v>
      </c>
      <c r="F30" s="2" t="n">
        <v>143500</v>
      </c>
      <c r="G30" s="2" t="n">
        <v>0</v>
      </c>
    </row>
    <row r="31">
      <c r="A31" s="4" t="inlineStr">
        <is>
          <t>PVR IMAX with Laser - Priya, Vasant Vihar, New Delhi</t>
        </is>
      </c>
      <c r="B31" s="4" t="n">
        <v>205</v>
      </c>
      <c r="C31" s="4" t="n">
        <v>303</v>
      </c>
      <c r="D31" s="4" t="n">
        <v>98</v>
      </c>
      <c r="E31" s="5" t="n">
        <v>0.3234323432343234</v>
      </c>
      <c r="F31" s="4" t="n">
        <v>97830</v>
      </c>
      <c r="G31" s="4" t="n">
        <v>31400</v>
      </c>
    </row>
    <row r="32">
      <c r="A32" s="2" t="inlineStr">
        <is>
          <t>PVR Superplex Mall Of India, Sector 18, Noida</t>
        </is>
      </c>
      <c r="B32" s="2" t="n">
        <v>160</v>
      </c>
      <c r="C32" s="2" t="n">
        <v>160</v>
      </c>
      <c r="D32" s="2" t="n">
        <v>0</v>
      </c>
      <c r="E32" s="3" t="n">
        <v>0</v>
      </c>
      <c r="F32" s="2" t="n">
        <v>58880</v>
      </c>
      <c r="G32" s="2" t="n">
        <v>0</v>
      </c>
    </row>
    <row r="33">
      <c r="A33" s="4" t="inlineStr">
        <is>
          <t>PVR Anupam Saket, Ashok Vihar, New Delhi</t>
        </is>
      </c>
      <c r="B33" s="4" t="n">
        <v>233</v>
      </c>
      <c r="C33" s="4" t="n">
        <v>268</v>
      </c>
      <c r="D33" s="4" t="n">
        <v>35</v>
      </c>
      <c r="E33" s="5" t="n">
        <v>0.1305970149253731</v>
      </c>
      <c r="F33" s="4" t="n">
        <v>82410</v>
      </c>
      <c r="G33" s="4" t="n">
        <v>11390</v>
      </c>
    </row>
    <row r="34">
      <c r="A34" s="2" t="inlineStr">
        <is>
          <t>Cinepolis DLF Avenue, Saket, New Delhi</t>
        </is>
      </c>
      <c r="B34" s="2" t="n">
        <v>35</v>
      </c>
      <c r="C34" s="2" t="n">
        <v>167</v>
      </c>
      <c r="D34" s="2" t="n">
        <v>132</v>
      </c>
      <c r="E34" s="3" t="n">
        <v>0.7904191616766467</v>
      </c>
      <c r="F34" s="2" t="n">
        <v>87500</v>
      </c>
      <c r="G34" s="2" t="n">
        <v>71300</v>
      </c>
    </row>
    <row r="35">
      <c r="A35" s="4" t="inlineStr">
        <is>
          <t>PVR Gaur City, Gaur City Mall, Greater Noida</t>
        </is>
      </c>
      <c r="B35" s="4" t="n">
        <v>94</v>
      </c>
      <c r="C35" s="4" t="n">
        <v>105</v>
      </c>
      <c r="D35" s="4" t="n">
        <v>11</v>
      </c>
      <c r="E35" s="5" t="n">
        <v>0.1047619047619048</v>
      </c>
      <c r="F35" s="4" t="n">
        <v>25590</v>
      </c>
      <c r="G35" s="4" t="n">
        <v>2820</v>
      </c>
    </row>
    <row r="36">
      <c r="A36" s="2" t="inlineStr">
        <is>
          <t>PVR MGF Mall, Metropolitan Mall, Gurugram</t>
        </is>
      </c>
      <c r="B36" s="2" t="n">
        <v>129</v>
      </c>
      <c r="C36" s="2" t="n">
        <v>152</v>
      </c>
      <c r="D36" s="2" t="n">
        <v>23</v>
      </c>
      <c r="E36" s="3" t="n">
        <v>0.1513157894736842</v>
      </c>
      <c r="F36" s="2" t="n">
        <v>38000</v>
      </c>
      <c r="G36" s="2" t="n">
        <v>5750</v>
      </c>
    </row>
    <row r="37">
      <c r="A37" s="4" t="inlineStr">
        <is>
          <t>Cinepolis Modi Mall (Formerly Spice Mall), Noida</t>
        </is>
      </c>
      <c r="B37" s="4" t="n">
        <v>238</v>
      </c>
      <c r="C37" s="4" t="n">
        <v>257</v>
      </c>
      <c r="D37" s="4" t="n">
        <v>19</v>
      </c>
      <c r="E37" s="5" t="n">
        <v>0.07392996108949416</v>
      </c>
      <c r="F37" s="4" t="n">
        <v>62540</v>
      </c>
      <c r="G37" s="4" t="n">
        <v>4750</v>
      </c>
    </row>
    <row r="38">
      <c r="A38" s="6" t="inlineStr">
        <is>
          <t>Total</t>
        </is>
      </c>
      <c r="B38" s="6">
        <f>SUM(B2:B37)</f>
        <v/>
      </c>
      <c r="C38" s="6">
        <f>SUM(C2:C37)</f>
        <v/>
      </c>
      <c r="D38" s="6">
        <f>SUM(D2:D37)</f>
        <v/>
      </c>
      <c r="E38" s="7" t="inlineStr"/>
      <c r="F38" s="6">
        <f>SUM(F2:F37)</f>
        <v/>
      </c>
      <c r="G38" s="6">
        <f>SUM(G2:G37)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
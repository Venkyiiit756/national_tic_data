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243</v>
      </c>
      <c r="F2" s="2" t="n">
        <v>243</v>
      </c>
      <c r="G2" s="2" t="n">
        <v>0</v>
      </c>
      <c r="H2" s="3" t="n">
        <v>0</v>
      </c>
      <c r="I2" s="2" t="n">
        <v>290</v>
      </c>
      <c r="J2" s="2" t="n">
        <v>70470</v>
      </c>
      <c r="K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85</v>
      </c>
      <c r="F6" s="2" t="n">
        <v>86</v>
      </c>
      <c r="G6" s="2" t="n">
        <v>1</v>
      </c>
      <c r="H6" s="3" t="n">
        <v>0.01162790697674419</v>
      </c>
      <c r="I6" s="2" t="n">
        <v>210</v>
      </c>
      <c r="J6" s="2" t="n">
        <v>18060</v>
      </c>
      <c r="K6" s="2" t="n">
        <v>210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2025-01-10T03:30</t>
        </is>
      </c>
      <c r="D7" s="4" t="inlineStr">
        <is>
          <t>SPECIAL</t>
        </is>
      </c>
      <c r="E7" s="4" t="n">
        <v>105</v>
      </c>
      <c r="F7" s="4" t="n">
        <v>105</v>
      </c>
      <c r="G7" s="4" t="n">
        <v>0</v>
      </c>
      <c r="H7" s="5" t="n">
        <v>0</v>
      </c>
      <c r="I7" s="4" t="n">
        <v>160</v>
      </c>
      <c r="J7" s="4" t="n">
        <v>16800</v>
      </c>
      <c r="K7" s="4" t="n">
        <v>0</v>
      </c>
    </row>
    <row r="8">
      <c r="A8" s="2" t="inlineStr">
        <is>
          <t>Miraj Cinemas Newtown, Kolkata</t>
        </is>
      </c>
      <c r="B8" s="2" t="inlineStr">
        <is>
          <t>SCREEN 5</t>
        </is>
      </c>
      <c r="C8" s="2" t="inlineStr">
        <is>
          <t>2025-01-10T03:30</t>
        </is>
      </c>
      <c r="D8" s="2" t="inlineStr">
        <is>
          <t>EXECUTIVE</t>
        </is>
      </c>
      <c r="E8" s="2" t="n">
        <v>89</v>
      </c>
      <c r="F8" s="2" t="n">
        <v>89</v>
      </c>
      <c r="G8" s="2" t="n">
        <v>0</v>
      </c>
      <c r="H8" s="3" t="n">
        <v>0</v>
      </c>
      <c r="I8" s="2" t="n">
        <v>160</v>
      </c>
      <c r="J8" s="2" t="n">
        <v>14240</v>
      </c>
      <c r="K8" s="2" t="n">
        <v>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GOLD</t>
        </is>
      </c>
      <c r="E9" s="4" t="n">
        <v>30</v>
      </c>
      <c r="F9" s="4" t="n">
        <v>63</v>
      </c>
      <c r="G9" s="4" t="n">
        <v>33</v>
      </c>
      <c r="H9" s="5" t="n">
        <v>0.5238095238095238</v>
      </c>
      <c r="I9" s="4" t="n">
        <v>160</v>
      </c>
      <c r="J9" s="4" t="n">
        <v>10080</v>
      </c>
      <c r="K9" s="4" t="n">
        <v>5280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30</v>
      </c>
      <c r="F10" s="2" t="n">
        <v>33</v>
      </c>
      <c r="G10" s="2" t="n">
        <v>3</v>
      </c>
      <c r="H10" s="3" t="n">
        <v>0.09090909090909091</v>
      </c>
      <c r="I10" s="2" t="n">
        <v>300</v>
      </c>
      <c r="J10" s="2" t="n">
        <v>9900</v>
      </c>
      <c r="K10" s="2" t="n">
        <v>900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2025-01-10T06:45</t>
        </is>
      </c>
      <c r="D11" s="4" t="inlineStr">
        <is>
          <t>SPECIAL</t>
        </is>
      </c>
      <c r="E11" s="4" t="n">
        <v>105</v>
      </c>
      <c r="F11" s="4" t="n">
        <v>105</v>
      </c>
      <c r="G11" s="4" t="n">
        <v>0</v>
      </c>
      <c r="H11" s="5" t="n">
        <v>0</v>
      </c>
      <c r="I11" s="4" t="n">
        <v>220</v>
      </c>
      <c r="J11" s="4" t="n">
        <v>23100</v>
      </c>
      <c r="K11" s="4" t="n">
        <v>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2025-01-10T06:45</t>
        </is>
      </c>
      <c r="D12" s="2" t="inlineStr">
        <is>
          <t>EXECUTIVE</t>
        </is>
      </c>
      <c r="E12" s="2" t="n">
        <v>89</v>
      </c>
      <c r="F12" s="2" t="n">
        <v>89</v>
      </c>
      <c r="G12" s="2" t="n">
        <v>0</v>
      </c>
      <c r="H12" s="3" t="n">
        <v>0</v>
      </c>
      <c r="I12" s="2" t="n">
        <v>220</v>
      </c>
      <c r="J12" s="2" t="n">
        <v>19580</v>
      </c>
      <c r="K12" s="2" t="n">
        <v>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GOLD</t>
        </is>
      </c>
      <c r="E13" s="4" t="n">
        <v>63</v>
      </c>
      <c r="F13" s="4" t="n">
        <v>63</v>
      </c>
      <c r="G13" s="4" t="n">
        <v>0</v>
      </c>
      <c r="H13" s="5" t="n">
        <v>0</v>
      </c>
      <c r="I13" s="4" t="n">
        <v>220</v>
      </c>
      <c r="J13" s="4" t="n">
        <v>13860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RECLINER</t>
        </is>
      </c>
      <c r="E14" s="2" t="n">
        <v>33</v>
      </c>
      <c r="F14" s="2" t="n">
        <v>33</v>
      </c>
      <c r="G14" s="2" t="n">
        <v>0</v>
      </c>
      <c r="H14" s="3" t="n">
        <v>0</v>
      </c>
      <c r="I14" s="2" t="n">
        <v>400</v>
      </c>
      <c r="J14" s="2" t="n">
        <v>13200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2025-01-10T13:15</t>
        </is>
      </c>
      <c r="D15" s="4" t="inlineStr">
        <is>
          <t>SPECIAL</t>
        </is>
      </c>
      <c r="E15" s="4" t="n">
        <v>105</v>
      </c>
      <c r="F15" s="4" t="n">
        <v>105</v>
      </c>
      <c r="G15" s="4" t="n">
        <v>0</v>
      </c>
      <c r="H15" s="5" t="n">
        <v>0</v>
      </c>
      <c r="I15" s="4" t="n">
        <v>220</v>
      </c>
      <c r="J15" s="4" t="n">
        <v>23100</v>
      </c>
      <c r="K15" s="4" t="n">
        <v>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2025-01-10T13:15</t>
        </is>
      </c>
      <c r="D16" s="2" t="inlineStr">
        <is>
          <t>EXECUTIVE</t>
        </is>
      </c>
      <c r="E16" s="2" t="n">
        <v>89</v>
      </c>
      <c r="F16" s="2" t="n">
        <v>89</v>
      </c>
      <c r="G16" s="2" t="n">
        <v>0</v>
      </c>
      <c r="H16" s="3" t="n">
        <v>0</v>
      </c>
      <c r="I16" s="2" t="n">
        <v>220</v>
      </c>
      <c r="J16" s="2" t="n">
        <v>19580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GOLD</t>
        </is>
      </c>
      <c r="E17" s="4" t="n">
        <v>57</v>
      </c>
      <c r="F17" s="4" t="n">
        <v>63</v>
      </c>
      <c r="G17" s="4" t="n">
        <v>6</v>
      </c>
      <c r="H17" s="5" t="n">
        <v>0.09523809523809523</v>
      </c>
      <c r="I17" s="4" t="n">
        <v>220</v>
      </c>
      <c r="J17" s="4" t="n">
        <v>13860</v>
      </c>
      <c r="K17" s="4" t="n">
        <v>1320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RECLINER</t>
        </is>
      </c>
      <c r="E18" s="2" t="n">
        <v>33</v>
      </c>
      <c r="F18" s="2" t="n">
        <v>33</v>
      </c>
      <c r="G18" s="2" t="n">
        <v>0</v>
      </c>
      <c r="H18" s="3" t="n">
        <v>0</v>
      </c>
      <c r="I18" s="2" t="n">
        <v>400</v>
      </c>
      <c r="J18" s="2" t="n">
        <v>13200</v>
      </c>
      <c r="K18" s="2" t="n">
        <v>0</v>
      </c>
    </row>
    <row r="19">
      <c r="A19" s="6" t="inlineStr">
        <is>
          <t>Total</t>
        </is>
      </c>
      <c r="B19" s="6" t="inlineStr"/>
      <c r="C19" s="6" t="inlineStr"/>
      <c r="D19" s="6" t="inlineStr"/>
      <c r="E19" s="6">
        <f>SUM(E2:E18)</f>
        <v/>
      </c>
      <c r="F19" s="6">
        <f>SUM(F2:F18)</f>
        <v/>
      </c>
      <c r="G19" s="6">
        <f>SUM(G2:G18)</f>
        <v/>
      </c>
      <c r="H19" s="7" t="inlineStr"/>
      <c r="I19" s="6">
        <f>SUM(I2:I18)</f>
        <v/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243</v>
      </c>
      <c r="E2" s="2" t="n">
        <v>243</v>
      </c>
      <c r="F2" s="2" t="n">
        <v>0</v>
      </c>
      <c r="G2" s="3" t="n">
        <v>0</v>
      </c>
      <c r="H2" s="2" t="n">
        <v>70470</v>
      </c>
      <c r="I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165</v>
      </c>
      <c r="E3" s="4" t="n">
        <v>166</v>
      </c>
      <c r="F3" s="4" t="n">
        <v>1</v>
      </c>
      <c r="G3" s="5" t="n">
        <v>0.006024096385542169</v>
      </c>
      <c r="H3" s="4" t="n">
        <v>36220</v>
      </c>
      <c r="I3" s="4" t="n">
        <v>210</v>
      </c>
    </row>
    <row r="4">
      <c r="A4" s="2" t="inlineStr">
        <is>
          <t>Miraj Cinemas Newtown, Kolkata</t>
        </is>
      </c>
      <c r="B4" s="2" t="inlineStr">
        <is>
          <t>SCREEN 5</t>
        </is>
      </c>
      <c r="C4" s="2" t="inlineStr">
        <is>
          <t>2025-01-10T03:30</t>
        </is>
      </c>
      <c r="D4" s="2" t="n">
        <v>254</v>
      </c>
      <c r="E4" s="2" t="n">
        <v>290</v>
      </c>
      <c r="F4" s="2" t="n">
        <v>36</v>
      </c>
      <c r="G4" s="3" t="n">
        <v>0.1241379310344828</v>
      </c>
      <c r="H4" s="2" t="n">
        <v>51020</v>
      </c>
      <c r="I4" s="2" t="n">
        <v>6180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2025-01-10T06:45</t>
        </is>
      </c>
      <c r="D5" s="4" t="n">
        <v>290</v>
      </c>
      <c r="E5" s="4" t="n">
        <v>290</v>
      </c>
      <c r="F5" s="4" t="n">
        <v>0</v>
      </c>
      <c r="G5" s="5" t="n">
        <v>0</v>
      </c>
      <c r="H5" s="4" t="n">
        <v>69740</v>
      </c>
      <c r="I5" s="4" t="n">
        <v>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2025-01-10T13:15</t>
        </is>
      </c>
      <c r="D6" s="2" t="n">
        <v>284</v>
      </c>
      <c r="E6" s="2" t="n">
        <v>290</v>
      </c>
      <c r="F6" s="2" t="n">
        <v>6</v>
      </c>
      <c r="G6" s="3" t="n">
        <v>0.02068965517241379</v>
      </c>
      <c r="H6" s="2" t="n">
        <v>69740</v>
      </c>
      <c r="I6" s="2" t="n">
        <v>1320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243</v>
      </c>
      <c r="C2" s="2" t="n">
        <v>243</v>
      </c>
      <c r="D2" s="2" t="n">
        <v>0</v>
      </c>
      <c r="E2" s="3" t="n">
        <v>0</v>
      </c>
      <c r="F2" s="2" t="n">
        <v>70470</v>
      </c>
      <c r="G2" s="2" t="n">
        <v>0</v>
      </c>
    </row>
    <row r="3">
      <c r="A3" s="4" t="inlineStr">
        <is>
          <t>INOX Quest Mall, Ballygunge, Kolkata</t>
        </is>
      </c>
      <c r="B3" s="4" t="n">
        <v>165</v>
      </c>
      <c r="C3" s="4" t="n">
        <v>166</v>
      </c>
      <c r="D3" s="4" t="n">
        <v>1</v>
      </c>
      <c r="E3" s="5" t="n">
        <v>0.006024096385542169</v>
      </c>
      <c r="F3" s="4" t="n">
        <v>36220</v>
      </c>
      <c r="G3" s="4" t="n">
        <v>210</v>
      </c>
    </row>
    <row r="4">
      <c r="A4" s="2" t="inlineStr">
        <is>
          <t>Miraj Cinemas Newtown, Kolkata</t>
        </is>
      </c>
      <c r="B4" s="2" t="n">
        <v>828</v>
      </c>
      <c r="C4" s="2" t="n">
        <v>870</v>
      </c>
      <c r="D4" s="2" t="n">
        <v>42</v>
      </c>
      <c r="E4" s="3" t="n">
        <v>0.04827586206896552</v>
      </c>
      <c r="F4" s="2" t="n">
        <v>190500</v>
      </c>
      <c r="G4" s="2" t="n">
        <v>7500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
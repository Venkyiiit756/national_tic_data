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DetailedData"/>
    <sheet r:id="rId2" sheetId="2" name="AggregatedData_Per_Showtime"/>
    <sheet r:id="rId3" sheetId="3" name="AggregatedData_Per_Theater"/>
  </sheets>
  <calcPr fullCalcOnLoad="1"/>
</workbook>
</file>

<file path=xl/sharedStrings.xml><?xml version="1.0" encoding="utf-8"?>
<sst xmlns="http://schemas.openxmlformats.org/spreadsheetml/2006/main" count="1395" uniqueCount="93">
  <si>
    <t>Theater name</t>
  </si>
  <si>
    <t>AvailableTickets</t>
  </si>
  <si>
    <t>TotalTickets</t>
  </si>
  <si>
    <t>BookedTickets</t>
  </si>
  <si>
    <t>Occupancy (%)</t>
  </si>
  <si>
    <t>TotalGross</t>
  </si>
  <si>
    <t>BookedGross</t>
  </si>
  <si>
    <t>SVC Eeshwar, Attapur, Hyderabad</t>
  </si>
  <si>
    <t>Mythri Theatres Megha Theatre, Dilsukhnagar, Hyderabad</t>
  </si>
  <si>
    <t>SVC Sri Lakshmi Theatre, Kharmanghat, Hyderabad</t>
  </si>
  <si>
    <t>Mythri Theatres, Jagadamba Theatre Dolby Atmos 2K, Ghatkesar, Hyderabad</t>
  </si>
  <si>
    <t>Mythri Theatres, Vimal 70MM AC 4K Laser Dolby Atmos, Balanagar(Newly Renovated), Hyderabad</t>
  </si>
  <si>
    <t>Sai Ranga 70MM 4K Dolby, Miyapur, Hyderabad</t>
  </si>
  <si>
    <t>Rajdhani Deluxe 2K Dolby 7.1, Dilsukhnagar, Hyderabad</t>
  </si>
  <si>
    <t>Rajadhani 70MM 2K Dolby 7.1 Newly Renovated, Dilshuknagar, Hyderabad</t>
  </si>
  <si>
    <t>Sushma 70MM 2K Dolby Digital, Vanasthalipuram, Hyderabad</t>
  </si>
  <si>
    <t>SVC Shiva Sakthi Theatre, Kapra, Hyderabad</t>
  </si>
  <si>
    <t>Ranga Theatre 70MM, Jeedimetla, Hyderabad</t>
  </si>
  <si>
    <t>Sangeetha Theatre, RC Puram (Formerly SVC Sangeetha), RC Reddy Colony, Hyderabad</t>
  </si>
  <si>
    <t>Sampurna 70MM 2K Dolby Digital, Vanasthalipuram, Hyderabad</t>
  </si>
  <si>
    <t>Bhujanga 70 MM Theatre, Jeedimetla, Hyderabad</t>
  </si>
  <si>
    <t>Total</t>
  </si>
  <si>
    <t>Audi</t>
  </si>
  <si>
    <t>Showtime</t>
  </si>
  <si>
    <t xml:space="preserve">SVC Eeshwar </t>
  </si>
  <si>
    <t>2025-01-10T12:30</t>
  </si>
  <si>
    <t>2025-01-10T09:00</t>
  </si>
  <si>
    <t>2025-01-09T22:30</t>
  </si>
  <si>
    <t>2025-01-10T05:30</t>
  </si>
  <si>
    <t>2025-01-10T02:00</t>
  </si>
  <si>
    <t>2025-01-10T16:00</t>
  </si>
  <si>
    <t>Mythri Megha Theatre</t>
  </si>
  <si>
    <t>2025-01-10T05:50</t>
  </si>
  <si>
    <t>2025-01-10T02:10</t>
  </si>
  <si>
    <t>2025-01-10T16:50</t>
  </si>
  <si>
    <t>2025-01-10T13:10</t>
  </si>
  <si>
    <t>2025-01-10T09:30</t>
  </si>
  <si>
    <t>SVC Srilakshmi</t>
  </si>
  <si>
    <t>JAGADAMBA THEATRE</t>
  </si>
  <si>
    <t>2025-01-10T06:00</t>
  </si>
  <si>
    <t>2025-01-10T13:00</t>
  </si>
  <si>
    <t>2025-01-10T16:30</t>
  </si>
  <si>
    <t>2025-01-10T02:30</t>
  </si>
  <si>
    <t>2025-01-09T23:00</t>
  </si>
  <si>
    <t>VIMAL-70MM</t>
  </si>
  <si>
    <t>SAI RANGA THEATRE</t>
  </si>
  <si>
    <t>2025-01-10T08:45</t>
  </si>
  <si>
    <t>2025-01-10T15:45</t>
  </si>
  <si>
    <t>RAJADHANI DELUXE THEATRE</t>
  </si>
  <si>
    <t>2025-01-10T12:45</t>
  </si>
  <si>
    <t>2025-01-10T01:45</t>
  </si>
  <si>
    <t>Rajadhani 70MM</t>
  </si>
  <si>
    <t>Sushma Theatre -  Vanasthalipuram</t>
  </si>
  <si>
    <t>2025-01-10T01:30</t>
  </si>
  <si>
    <t>2025-01-10T12:15</t>
  </si>
  <si>
    <t>2025-01-10T05:15</t>
  </si>
  <si>
    <t>SVC SHIVA SHAKTHI A/C DTS</t>
  </si>
  <si>
    <t>2025-01-09T22:35</t>
  </si>
  <si>
    <t>RANGA70MM THEATRE</t>
  </si>
  <si>
    <t>Sangeetha</t>
  </si>
  <si>
    <t>2025-01-10T12:50</t>
  </si>
  <si>
    <t>2025-01-10T09:10</t>
  </si>
  <si>
    <t>2025-01-10T01:50</t>
  </si>
  <si>
    <t>Sampurna 70MM 2K</t>
  </si>
  <si>
    <t>2025-01-09T22:45</t>
  </si>
  <si>
    <t>BUJANGA THEATRE</t>
  </si>
  <si>
    <t>2025-01-10T02:15</t>
  </si>
  <si>
    <t>2025-01-10T05:45</t>
  </si>
  <si>
    <t>ShowTime</t>
  </si>
  <si>
    <t>Label</t>
  </si>
  <si>
    <t>Price</t>
  </si>
  <si>
    <t>GOLD</t>
  </si>
  <si>
    <t>SILVER</t>
  </si>
  <si>
    <t>BRONZE</t>
  </si>
  <si>
    <t>EXECUTIVE</t>
  </si>
  <si>
    <t>BALCONY</t>
  </si>
  <si>
    <t>FIRST CLASS</t>
  </si>
  <si>
    <t>SECOND CLASS</t>
  </si>
  <si>
    <t>PLATINUM</t>
  </si>
  <si>
    <t>PLATINUM(RECLINERS)</t>
  </si>
  <si>
    <t>UPPER BALCONY</t>
  </si>
  <si>
    <t>LOWER BALCONY</t>
  </si>
  <si>
    <t>DRESS CIRCLE</t>
  </si>
  <si>
    <t>LOWER CLASS</t>
  </si>
  <si>
    <t>EXECUTIVE CLASS</t>
  </si>
  <si>
    <t>ECONOMY CLASS</t>
  </si>
  <si>
    <t>LOWER CLASS CLASS</t>
  </si>
  <si>
    <t>RECLINERS</t>
  </si>
  <si>
    <t>DIAMOND</t>
  </si>
  <si>
    <t>Balcony</t>
  </si>
  <si>
    <t>Dress Circle</t>
  </si>
  <si>
    <t>3rd Class</t>
  </si>
  <si>
    <t>BOX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</si>
</sst>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%"/>
  </numFmts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dce6f1"/>
      </patternFill>
    </fill>
    <fill>
      <patternFill patternType="solid">
        <fgColor rgb="FFe6e6e6"/>
      </patternFill>
    </fill>
  </fills>
  <borders count="5">
    <border>
      <left/>
      <right/>
      <top/>
      <bottom/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dce6f1"/>
      </left>
      <right style="thin">
        <color rgb="FFdce6f1"/>
      </right>
      <top style="thin">
        <color rgb="FFdce6f1"/>
      </top>
      <bottom style="thin">
        <color rgb="FFdce6f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</borders>
  <cellStyleXfs count="1">
    <xf numFmtId="0" fontId="0" fillId="0" borderId="0"/>
  </cellStyleXfs>
  <cellXfs count="16">
    <xf xfId="0" numFmtId="0" borderId="0" fontId="0" fillId="0"/>
    <xf xfId="0" numFmtId="0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164" applyNumberFormat="1" borderId="1" applyBorder="1" fontId="1" applyFont="1" fillId="2" applyFill="1" applyAlignment="1">
      <alignment horizontal="center"/>
    </xf>
    <xf xfId="0" numFmtId="0" borderId="2" applyBorder="1" fontId="2" applyFont="1" fillId="3" applyFill="1" applyAlignment="1">
      <alignment horizontal="center"/>
    </xf>
    <xf xfId="0" numFmtId="3" applyNumberFormat="1" borderId="2" applyBorder="1" fontId="2" applyFont="1" fillId="3" applyFill="1" applyAlignment="1">
      <alignment horizontal="center"/>
    </xf>
    <xf xfId="0" numFmtId="164" applyNumberFormat="1" borderId="2" applyBorder="1" fontId="2" applyFont="1" fillId="3" applyFill="1" applyAlignment="1">
      <alignment horizontal="center"/>
    </xf>
    <xf xfId="0" numFmtId="0" borderId="3" applyBorder="1" fontId="2" applyFont="1" fillId="0" applyAlignment="1">
      <alignment horizontal="center"/>
    </xf>
    <xf xfId="0" numFmtId="3" applyNumberFormat="1" borderId="3" applyBorder="1" fontId="2" applyFont="1" fillId="0" applyAlignment="1">
      <alignment horizontal="center"/>
    </xf>
    <xf xfId="0" numFmtId="164" applyNumberFormat="1" borderId="3" applyBorder="1" fontId="2" applyFont="1" fillId="0" applyAlignment="1">
      <alignment horizontal="center"/>
    </xf>
    <xf xfId="0" numFmtId="0" borderId="4" applyBorder="1" fontId="3" applyFont="1" fillId="4" applyFill="1" applyAlignment="1">
      <alignment horizontal="center"/>
    </xf>
    <xf xfId="0" numFmtId="3" applyNumberFormat="1" borderId="4" applyBorder="1" fontId="3" applyFont="1" fillId="4" applyFill="1" applyAlignment="1">
      <alignment horizontal="center"/>
    </xf>
    <xf xfId="0" numFmtId="164" applyNumberFormat="1" borderId="4" applyBorder="1" fontId="3" applyFont="1" fillId="4" applyFill="1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16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279"/>
  <sheetViews>
    <sheetView workbookViewId="0"/>
  </sheetViews>
  <sheetFormatPr defaultRowHeight="15" x14ac:dyDescent="0.25"/>
  <cols>
    <col min="1" max="1" style="13" width="25.005" customWidth="1" bestFit="1"/>
    <col min="2" max="2" style="13" width="10.005" customWidth="1" bestFit="1"/>
    <col min="3" max="3" style="13" width="15.005" customWidth="1" bestFit="1"/>
    <col min="4" max="4" style="13" width="10.005" customWidth="1" bestFit="1"/>
    <col min="5" max="5" style="14" width="18.005" customWidth="1" bestFit="1"/>
    <col min="6" max="6" style="14" width="15.005" customWidth="1" bestFit="1"/>
    <col min="7" max="7" style="14" width="15.005" customWidth="1" bestFit="1"/>
    <col min="8" max="8" style="15" width="15.005" customWidth="1" bestFit="1"/>
    <col min="9" max="9" style="14" width="10.005" customWidth="1" bestFit="1"/>
    <col min="10" max="10" style="14" width="15.005" customWidth="1" bestFit="1"/>
    <col min="11" max="11" style="14" width="15.005" customWidth="1" bestFit="1"/>
  </cols>
  <sheetData>
    <row x14ac:dyDescent="0.25" r="1" customHeight="1" ht="19.5">
      <c r="A1" s="1" t="s">
        <v>0</v>
      </c>
      <c r="B1" s="1" t="s">
        <v>22</v>
      </c>
      <c r="C1" s="1" t="s">
        <v>68</v>
      </c>
      <c r="D1" s="1" t="s">
        <v>69</v>
      </c>
      <c r="E1" s="2" t="s">
        <v>1</v>
      </c>
      <c r="F1" s="2" t="s">
        <v>2</v>
      </c>
      <c r="G1" s="2" t="s">
        <v>3</v>
      </c>
      <c r="H1" s="3" t="s">
        <v>4</v>
      </c>
      <c r="I1" s="2" t="s">
        <v>70</v>
      </c>
      <c r="J1" s="2" t="s">
        <v>5</v>
      </c>
      <c r="K1" s="2" t="s">
        <v>6</v>
      </c>
    </row>
    <row x14ac:dyDescent="0.25" r="2" customHeight="1" ht="18.75">
      <c r="A2" s="4" t="s">
        <v>7</v>
      </c>
      <c r="B2" s="4" t="s">
        <v>24</v>
      </c>
      <c r="C2" s="4" t="s">
        <v>25</v>
      </c>
      <c r="D2" s="4" t="s">
        <v>71</v>
      </c>
      <c r="E2" s="5">
        <v>1</v>
      </c>
      <c r="F2" s="5">
        <v>432</v>
      </c>
      <c r="G2" s="5">
        <v>431</v>
      </c>
      <c r="H2" s="6">
        <v>0.9976851851851852</v>
      </c>
      <c r="I2" s="5">
        <v>275</v>
      </c>
      <c r="J2" s="5">
        <v>118800</v>
      </c>
      <c r="K2" s="5">
        <v>118525</v>
      </c>
    </row>
    <row x14ac:dyDescent="0.25" r="3" customHeight="1" ht="18.75">
      <c r="A3" s="7" t="s">
        <v>7</v>
      </c>
      <c r="B3" s="7" t="s">
        <v>24</v>
      </c>
      <c r="C3" s="7" t="s">
        <v>25</v>
      </c>
      <c r="D3" s="7" t="s">
        <v>72</v>
      </c>
      <c r="E3" s="8">
        <v>1</v>
      </c>
      <c r="F3" s="8">
        <v>226</v>
      </c>
      <c r="G3" s="8">
        <v>225</v>
      </c>
      <c r="H3" s="9">
        <v>0.995575221238938</v>
      </c>
      <c r="I3" s="8">
        <v>210</v>
      </c>
      <c r="J3" s="8">
        <v>47460</v>
      </c>
      <c r="K3" s="8">
        <v>47250</v>
      </c>
    </row>
    <row x14ac:dyDescent="0.25" r="4" customHeight="1" ht="18.75">
      <c r="A4" s="4" t="s">
        <v>7</v>
      </c>
      <c r="B4" s="4" t="s">
        <v>24</v>
      </c>
      <c r="C4" s="4" t="s">
        <v>25</v>
      </c>
      <c r="D4" s="4" t="s">
        <v>73</v>
      </c>
      <c r="E4" s="5">
        <v>74</v>
      </c>
      <c r="F4" s="5">
        <v>184</v>
      </c>
      <c r="G4" s="5">
        <v>110</v>
      </c>
      <c r="H4" s="6">
        <v>0.5978260869565217</v>
      </c>
      <c r="I4" s="5">
        <v>150</v>
      </c>
      <c r="J4" s="5">
        <v>27600</v>
      </c>
      <c r="K4" s="5">
        <v>16500</v>
      </c>
    </row>
    <row x14ac:dyDescent="0.25" r="5" customHeight="1" ht="18.75">
      <c r="A5" s="7" t="s">
        <v>7</v>
      </c>
      <c r="B5" s="7" t="s">
        <v>24</v>
      </c>
      <c r="C5" s="7" t="s">
        <v>26</v>
      </c>
      <c r="D5" s="7" t="s">
        <v>71</v>
      </c>
      <c r="E5" s="8">
        <v>1</v>
      </c>
      <c r="F5" s="8">
        <v>432</v>
      </c>
      <c r="G5" s="8">
        <v>431</v>
      </c>
      <c r="H5" s="9">
        <v>0.9976851851851852</v>
      </c>
      <c r="I5" s="8">
        <v>275</v>
      </c>
      <c r="J5" s="8">
        <v>118800</v>
      </c>
      <c r="K5" s="8">
        <v>118525</v>
      </c>
    </row>
    <row x14ac:dyDescent="0.25" r="6" customHeight="1" ht="18.75">
      <c r="A6" s="4" t="s">
        <v>7</v>
      </c>
      <c r="B6" s="4" t="s">
        <v>24</v>
      </c>
      <c r="C6" s="4" t="s">
        <v>26</v>
      </c>
      <c r="D6" s="4" t="s">
        <v>72</v>
      </c>
      <c r="E6" s="5">
        <v>1</v>
      </c>
      <c r="F6" s="5">
        <v>226</v>
      </c>
      <c r="G6" s="5">
        <v>225</v>
      </c>
      <c r="H6" s="6">
        <v>0.995575221238938</v>
      </c>
      <c r="I6" s="5">
        <v>210</v>
      </c>
      <c r="J6" s="5">
        <v>47460</v>
      </c>
      <c r="K6" s="5">
        <v>47250</v>
      </c>
    </row>
    <row x14ac:dyDescent="0.25" r="7" customHeight="1" ht="18.75">
      <c r="A7" s="7" t="s">
        <v>7</v>
      </c>
      <c r="B7" s="7" t="s">
        <v>24</v>
      </c>
      <c r="C7" s="7" t="s">
        <v>26</v>
      </c>
      <c r="D7" s="7" t="s">
        <v>73</v>
      </c>
      <c r="E7" s="8">
        <v>86</v>
      </c>
      <c r="F7" s="8">
        <v>184</v>
      </c>
      <c r="G7" s="8">
        <v>98</v>
      </c>
      <c r="H7" s="9">
        <v>0.532608695652174</v>
      </c>
      <c r="I7" s="8">
        <v>150</v>
      </c>
      <c r="J7" s="8">
        <v>27600</v>
      </c>
      <c r="K7" s="8">
        <v>14700</v>
      </c>
    </row>
    <row x14ac:dyDescent="0.25" r="8" customHeight="1" ht="18.75">
      <c r="A8" s="4" t="s">
        <v>7</v>
      </c>
      <c r="B8" s="4" t="s">
        <v>24</v>
      </c>
      <c r="C8" s="4" t="s">
        <v>27</v>
      </c>
      <c r="D8" s="4" t="s">
        <v>71</v>
      </c>
      <c r="E8" s="5">
        <v>0</v>
      </c>
      <c r="F8" s="5">
        <v>432</v>
      </c>
      <c r="G8" s="5">
        <v>432</v>
      </c>
      <c r="H8" s="6">
        <v>1</v>
      </c>
      <c r="I8" s="5">
        <v>275</v>
      </c>
      <c r="J8" s="5">
        <v>118800</v>
      </c>
      <c r="K8" s="5">
        <v>118800</v>
      </c>
    </row>
    <row x14ac:dyDescent="0.25" r="9" customHeight="1" ht="18.75">
      <c r="A9" s="7" t="s">
        <v>7</v>
      </c>
      <c r="B9" s="7" t="s">
        <v>24</v>
      </c>
      <c r="C9" s="7" t="s">
        <v>27</v>
      </c>
      <c r="D9" s="7" t="s">
        <v>72</v>
      </c>
      <c r="E9" s="8">
        <v>0</v>
      </c>
      <c r="F9" s="8">
        <v>226</v>
      </c>
      <c r="G9" s="8">
        <v>226</v>
      </c>
      <c r="H9" s="9">
        <v>1</v>
      </c>
      <c r="I9" s="8">
        <v>210</v>
      </c>
      <c r="J9" s="8">
        <v>47460</v>
      </c>
      <c r="K9" s="8">
        <v>47460</v>
      </c>
    </row>
    <row x14ac:dyDescent="0.25" r="10" customHeight="1" ht="18.75">
      <c r="A10" s="4" t="s">
        <v>7</v>
      </c>
      <c r="B10" s="4" t="s">
        <v>24</v>
      </c>
      <c r="C10" s="4" t="s">
        <v>27</v>
      </c>
      <c r="D10" s="4" t="s">
        <v>73</v>
      </c>
      <c r="E10" s="5">
        <v>0</v>
      </c>
      <c r="F10" s="5">
        <v>184</v>
      </c>
      <c r="G10" s="5">
        <v>184</v>
      </c>
      <c r="H10" s="6">
        <v>1</v>
      </c>
      <c r="I10" s="5">
        <v>150</v>
      </c>
      <c r="J10" s="5">
        <v>27600</v>
      </c>
      <c r="K10" s="5">
        <v>27600</v>
      </c>
    </row>
    <row x14ac:dyDescent="0.25" r="11" customHeight="1" ht="18.75">
      <c r="A11" s="7" t="s">
        <v>7</v>
      </c>
      <c r="B11" s="7" t="s">
        <v>24</v>
      </c>
      <c r="C11" s="7" t="s">
        <v>28</v>
      </c>
      <c r="D11" s="7" t="s">
        <v>71</v>
      </c>
      <c r="E11" s="8">
        <v>0</v>
      </c>
      <c r="F11" s="8">
        <v>432</v>
      </c>
      <c r="G11" s="8">
        <v>432</v>
      </c>
      <c r="H11" s="9">
        <v>1</v>
      </c>
      <c r="I11" s="8">
        <v>275</v>
      </c>
      <c r="J11" s="8">
        <v>118800</v>
      </c>
      <c r="K11" s="8">
        <v>118800</v>
      </c>
    </row>
    <row x14ac:dyDescent="0.25" r="12" customHeight="1" ht="18.75">
      <c r="A12" s="4" t="s">
        <v>7</v>
      </c>
      <c r="B12" s="4" t="s">
        <v>24</v>
      </c>
      <c r="C12" s="4" t="s">
        <v>28</v>
      </c>
      <c r="D12" s="4" t="s">
        <v>72</v>
      </c>
      <c r="E12" s="5">
        <v>0</v>
      </c>
      <c r="F12" s="5">
        <v>226</v>
      </c>
      <c r="G12" s="5">
        <v>226</v>
      </c>
      <c r="H12" s="6">
        <v>1</v>
      </c>
      <c r="I12" s="5">
        <v>210</v>
      </c>
      <c r="J12" s="5">
        <v>47460</v>
      </c>
      <c r="K12" s="5">
        <v>47460</v>
      </c>
    </row>
    <row x14ac:dyDescent="0.25" r="13" customHeight="1" ht="18.75">
      <c r="A13" s="7" t="s">
        <v>7</v>
      </c>
      <c r="B13" s="7" t="s">
        <v>24</v>
      </c>
      <c r="C13" s="7" t="s">
        <v>28</v>
      </c>
      <c r="D13" s="7" t="s">
        <v>73</v>
      </c>
      <c r="E13" s="8">
        <v>0</v>
      </c>
      <c r="F13" s="8">
        <v>184</v>
      </c>
      <c r="G13" s="8">
        <v>184</v>
      </c>
      <c r="H13" s="9">
        <v>1</v>
      </c>
      <c r="I13" s="8">
        <v>150</v>
      </c>
      <c r="J13" s="8">
        <v>27600</v>
      </c>
      <c r="K13" s="8">
        <v>27600</v>
      </c>
    </row>
    <row x14ac:dyDescent="0.25" r="14" customHeight="1" ht="18.75">
      <c r="A14" s="4" t="s">
        <v>7</v>
      </c>
      <c r="B14" s="4" t="s">
        <v>24</v>
      </c>
      <c r="C14" s="4" t="s">
        <v>29</v>
      </c>
      <c r="D14" s="4" t="s">
        <v>71</v>
      </c>
      <c r="E14" s="5">
        <v>0</v>
      </c>
      <c r="F14" s="5">
        <v>432</v>
      </c>
      <c r="G14" s="5">
        <v>432</v>
      </c>
      <c r="H14" s="6">
        <v>1</v>
      </c>
      <c r="I14" s="5">
        <v>275</v>
      </c>
      <c r="J14" s="5">
        <v>118800</v>
      </c>
      <c r="K14" s="5">
        <v>118800</v>
      </c>
    </row>
    <row x14ac:dyDescent="0.25" r="15" customHeight="1" ht="18.75">
      <c r="A15" s="7" t="s">
        <v>7</v>
      </c>
      <c r="B15" s="7" t="s">
        <v>24</v>
      </c>
      <c r="C15" s="7" t="s">
        <v>29</v>
      </c>
      <c r="D15" s="7" t="s">
        <v>72</v>
      </c>
      <c r="E15" s="8">
        <v>0</v>
      </c>
      <c r="F15" s="8">
        <v>226</v>
      </c>
      <c r="G15" s="8">
        <v>226</v>
      </c>
      <c r="H15" s="9">
        <v>1</v>
      </c>
      <c r="I15" s="8">
        <v>210</v>
      </c>
      <c r="J15" s="8">
        <v>47460</v>
      </c>
      <c r="K15" s="8">
        <v>47460</v>
      </c>
    </row>
    <row x14ac:dyDescent="0.25" r="16" customHeight="1" ht="18.75">
      <c r="A16" s="4" t="s">
        <v>7</v>
      </c>
      <c r="B16" s="4" t="s">
        <v>24</v>
      </c>
      <c r="C16" s="4" t="s">
        <v>29</v>
      </c>
      <c r="D16" s="4" t="s">
        <v>73</v>
      </c>
      <c r="E16" s="5">
        <v>1</v>
      </c>
      <c r="F16" s="5">
        <v>184</v>
      </c>
      <c r="G16" s="5">
        <v>183</v>
      </c>
      <c r="H16" s="6">
        <v>0.9945652173913043</v>
      </c>
      <c r="I16" s="5">
        <v>150</v>
      </c>
      <c r="J16" s="5">
        <v>27600</v>
      </c>
      <c r="K16" s="5">
        <v>27450</v>
      </c>
    </row>
    <row x14ac:dyDescent="0.25" r="17" customHeight="1" ht="18.75">
      <c r="A17" s="7" t="s">
        <v>7</v>
      </c>
      <c r="B17" s="7" t="s">
        <v>24</v>
      </c>
      <c r="C17" s="7" t="s">
        <v>30</v>
      </c>
      <c r="D17" s="7" t="s">
        <v>71</v>
      </c>
      <c r="E17" s="8">
        <v>1</v>
      </c>
      <c r="F17" s="8">
        <v>432</v>
      </c>
      <c r="G17" s="8">
        <v>431</v>
      </c>
      <c r="H17" s="9">
        <v>0.9976851851851852</v>
      </c>
      <c r="I17" s="8">
        <v>275</v>
      </c>
      <c r="J17" s="8">
        <v>118800</v>
      </c>
      <c r="K17" s="8">
        <v>118525</v>
      </c>
    </row>
    <row x14ac:dyDescent="0.25" r="18" customHeight="1" ht="18.75">
      <c r="A18" s="4" t="s">
        <v>7</v>
      </c>
      <c r="B18" s="4" t="s">
        <v>24</v>
      </c>
      <c r="C18" s="4" t="s">
        <v>30</v>
      </c>
      <c r="D18" s="4" t="s">
        <v>72</v>
      </c>
      <c r="E18" s="5">
        <v>1</v>
      </c>
      <c r="F18" s="5">
        <v>226</v>
      </c>
      <c r="G18" s="5">
        <v>225</v>
      </c>
      <c r="H18" s="6">
        <v>0.995575221238938</v>
      </c>
      <c r="I18" s="5">
        <v>210</v>
      </c>
      <c r="J18" s="5">
        <v>47460</v>
      </c>
      <c r="K18" s="5">
        <v>47250</v>
      </c>
    </row>
    <row x14ac:dyDescent="0.25" r="19" customHeight="1" ht="18.75">
      <c r="A19" s="7" t="s">
        <v>7</v>
      </c>
      <c r="B19" s="7" t="s">
        <v>24</v>
      </c>
      <c r="C19" s="7" t="s">
        <v>30</v>
      </c>
      <c r="D19" s="7" t="s">
        <v>73</v>
      </c>
      <c r="E19" s="8">
        <v>41</v>
      </c>
      <c r="F19" s="8">
        <v>184</v>
      </c>
      <c r="G19" s="8">
        <v>143</v>
      </c>
      <c r="H19" s="9">
        <v>0.7771739130434783</v>
      </c>
      <c r="I19" s="8">
        <v>150</v>
      </c>
      <c r="J19" s="8">
        <v>27600</v>
      </c>
      <c r="K19" s="8">
        <v>21450</v>
      </c>
    </row>
    <row x14ac:dyDescent="0.25" r="20" customHeight="1" ht="18.75">
      <c r="A20" s="4" t="s">
        <v>8</v>
      </c>
      <c r="B20" s="4" t="s">
        <v>31</v>
      </c>
      <c r="C20" s="4" t="s">
        <v>32</v>
      </c>
      <c r="D20" s="4" t="s">
        <v>71</v>
      </c>
      <c r="E20" s="5">
        <v>279</v>
      </c>
      <c r="F20" s="5">
        <v>415</v>
      </c>
      <c r="G20" s="5">
        <v>136</v>
      </c>
      <c r="H20" s="6">
        <v>0.327710843373494</v>
      </c>
      <c r="I20" s="5">
        <v>275</v>
      </c>
      <c r="J20" s="5">
        <v>114125</v>
      </c>
      <c r="K20" s="5">
        <v>37400</v>
      </c>
    </row>
    <row x14ac:dyDescent="0.25" r="21" customHeight="1" ht="18.75">
      <c r="A21" s="7" t="s">
        <v>8</v>
      </c>
      <c r="B21" s="7" t="s">
        <v>31</v>
      </c>
      <c r="C21" s="7" t="s">
        <v>32</v>
      </c>
      <c r="D21" s="7" t="s">
        <v>72</v>
      </c>
      <c r="E21" s="8">
        <v>273</v>
      </c>
      <c r="F21" s="8">
        <v>380</v>
      </c>
      <c r="G21" s="8">
        <v>107</v>
      </c>
      <c r="H21" s="9">
        <v>0.281578947368421</v>
      </c>
      <c r="I21" s="8">
        <v>210</v>
      </c>
      <c r="J21" s="8">
        <v>79800</v>
      </c>
      <c r="K21" s="8">
        <v>22470</v>
      </c>
    </row>
    <row x14ac:dyDescent="0.25" r="22" customHeight="1" ht="18.75">
      <c r="A22" s="4" t="s">
        <v>8</v>
      </c>
      <c r="B22" s="4" t="s">
        <v>31</v>
      </c>
      <c r="C22" s="4" t="s">
        <v>32</v>
      </c>
      <c r="D22" s="4" t="s">
        <v>74</v>
      </c>
      <c r="E22" s="5">
        <v>133</v>
      </c>
      <c r="F22" s="5">
        <v>194</v>
      </c>
      <c r="G22" s="5">
        <v>61</v>
      </c>
      <c r="H22" s="6">
        <v>0.3144329896907216</v>
      </c>
      <c r="I22" s="5">
        <v>150</v>
      </c>
      <c r="J22" s="5">
        <v>29100</v>
      </c>
      <c r="K22" s="5">
        <v>9150</v>
      </c>
    </row>
    <row x14ac:dyDescent="0.25" r="23" customHeight="1" ht="18.75">
      <c r="A23" s="7" t="s">
        <v>8</v>
      </c>
      <c r="B23" s="7" t="s">
        <v>31</v>
      </c>
      <c r="C23" s="7" t="s">
        <v>33</v>
      </c>
      <c r="D23" s="7" t="s">
        <v>71</v>
      </c>
      <c r="E23" s="8">
        <v>184</v>
      </c>
      <c r="F23" s="8">
        <v>415</v>
      </c>
      <c r="G23" s="8">
        <v>231</v>
      </c>
      <c r="H23" s="9">
        <v>0.5566265060240964</v>
      </c>
      <c r="I23" s="8">
        <v>275</v>
      </c>
      <c r="J23" s="8">
        <v>114125</v>
      </c>
      <c r="K23" s="8">
        <v>63525</v>
      </c>
    </row>
    <row x14ac:dyDescent="0.25" r="24" customHeight="1" ht="18.75">
      <c r="A24" s="4" t="s">
        <v>8</v>
      </c>
      <c r="B24" s="4" t="s">
        <v>31</v>
      </c>
      <c r="C24" s="4" t="s">
        <v>33</v>
      </c>
      <c r="D24" s="4" t="s">
        <v>72</v>
      </c>
      <c r="E24" s="5">
        <v>227</v>
      </c>
      <c r="F24" s="5">
        <v>380</v>
      </c>
      <c r="G24" s="5">
        <v>153</v>
      </c>
      <c r="H24" s="6">
        <v>0.4026315789473684</v>
      </c>
      <c r="I24" s="5">
        <v>210</v>
      </c>
      <c r="J24" s="5">
        <v>79800</v>
      </c>
      <c r="K24" s="5">
        <v>32130</v>
      </c>
    </row>
    <row x14ac:dyDescent="0.25" r="25" customHeight="1" ht="18.75">
      <c r="A25" s="7" t="s">
        <v>8</v>
      </c>
      <c r="B25" s="7" t="s">
        <v>31</v>
      </c>
      <c r="C25" s="7" t="s">
        <v>33</v>
      </c>
      <c r="D25" s="7" t="s">
        <v>74</v>
      </c>
      <c r="E25" s="8">
        <v>128</v>
      </c>
      <c r="F25" s="8">
        <v>194</v>
      </c>
      <c r="G25" s="8">
        <v>66</v>
      </c>
      <c r="H25" s="9">
        <v>0.3402061855670103</v>
      </c>
      <c r="I25" s="8">
        <v>150</v>
      </c>
      <c r="J25" s="8">
        <v>29100</v>
      </c>
      <c r="K25" s="8">
        <v>9900</v>
      </c>
    </row>
    <row x14ac:dyDescent="0.25" r="26" customHeight="1" ht="18.75">
      <c r="A26" s="4" t="s">
        <v>8</v>
      </c>
      <c r="B26" s="4" t="s">
        <v>31</v>
      </c>
      <c r="C26" s="4" t="s">
        <v>27</v>
      </c>
      <c r="D26" s="4" t="s">
        <v>71</v>
      </c>
      <c r="E26" s="5">
        <v>0</v>
      </c>
      <c r="F26" s="5">
        <v>415</v>
      </c>
      <c r="G26" s="5">
        <v>415</v>
      </c>
      <c r="H26" s="6">
        <v>1</v>
      </c>
      <c r="I26" s="5">
        <v>275</v>
      </c>
      <c r="J26" s="5">
        <v>114125</v>
      </c>
      <c r="K26" s="5">
        <v>114125</v>
      </c>
    </row>
    <row x14ac:dyDescent="0.25" r="27" customHeight="1" ht="18.75">
      <c r="A27" s="7" t="s">
        <v>8</v>
      </c>
      <c r="B27" s="7" t="s">
        <v>31</v>
      </c>
      <c r="C27" s="7" t="s">
        <v>27</v>
      </c>
      <c r="D27" s="7" t="s">
        <v>72</v>
      </c>
      <c r="E27" s="8">
        <v>0</v>
      </c>
      <c r="F27" s="8">
        <v>380</v>
      </c>
      <c r="G27" s="8">
        <v>380</v>
      </c>
      <c r="H27" s="9">
        <v>1</v>
      </c>
      <c r="I27" s="8">
        <v>210</v>
      </c>
      <c r="J27" s="8">
        <v>79800</v>
      </c>
      <c r="K27" s="8">
        <v>79800</v>
      </c>
    </row>
    <row x14ac:dyDescent="0.25" r="28" customHeight="1" ht="18.75">
      <c r="A28" s="4" t="s">
        <v>8</v>
      </c>
      <c r="B28" s="4" t="s">
        <v>31</v>
      </c>
      <c r="C28" s="4" t="s">
        <v>27</v>
      </c>
      <c r="D28" s="4" t="s">
        <v>74</v>
      </c>
      <c r="E28" s="5">
        <v>48</v>
      </c>
      <c r="F28" s="5">
        <v>194</v>
      </c>
      <c r="G28" s="5">
        <v>146</v>
      </c>
      <c r="H28" s="6">
        <v>0.7525773195876289</v>
      </c>
      <c r="I28" s="5">
        <v>150</v>
      </c>
      <c r="J28" s="5">
        <v>29100</v>
      </c>
      <c r="K28" s="5">
        <v>21900</v>
      </c>
    </row>
    <row x14ac:dyDescent="0.25" r="29" customHeight="1" ht="18.75">
      <c r="A29" s="7" t="s">
        <v>8</v>
      </c>
      <c r="B29" s="7" t="s">
        <v>31</v>
      </c>
      <c r="C29" s="7" t="s">
        <v>34</v>
      </c>
      <c r="D29" s="7" t="s">
        <v>71</v>
      </c>
      <c r="E29" s="8">
        <v>328</v>
      </c>
      <c r="F29" s="8">
        <v>415</v>
      </c>
      <c r="G29" s="8">
        <v>87</v>
      </c>
      <c r="H29" s="9">
        <v>0.2096385542168675</v>
      </c>
      <c r="I29" s="8">
        <v>275</v>
      </c>
      <c r="J29" s="8">
        <v>114125</v>
      </c>
      <c r="K29" s="8">
        <v>23925</v>
      </c>
    </row>
    <row x14ac:dyDescent="0.25" r="30" customHeight="1" ht="18.75">
      <c r="A30" s="4" t="s">
        <v>8</v>
      </c>
      <c r="B30" s="4" t="s">
        <v>31</v>
      </c>
      <c r="C30" s="4" t="s">
        <v>34</v>
      </c>
      <c r="D30" s="4" t="s">
        <v>72</v>
      </c>
      <c r="E30" s="5">
        <v>301</v>
      </c>
      <c r="F30" s="5">
        <v>380</v>
      </c>
      <c r="G30" s="5">
        <v>79</v>
      </c>
      <c r="H30" s="6">
        <v>0.2078947368421053</v>
      </c>
      <c r="I30" s="5">
        <v>210</v>
      </c>
      <c r="J30" s="5">
        <v>79800</v>
      </c>
      <c r="K30" s="5">
        <v>16590</v>
      </c>
    </row>
    <row x14ac:dyDescent="0.25" r="31" customHeight="1" ht="18.75">
      <c r="A31" s="7" t="s">
        <v>8</v>
      </c>
      <c r="B31" s="7" t="s">
        <v>31</v>
      </c>
      <c r="C31" s="7" t="s">
        <v>34</v>
      </c>
      <c r="D31" s="7" t="s">
        <v>74</v>
      </c>
      <c r="E31" s="8">
        <v>140</v>
      </c>
      <c r="F31" s="8">
        <v>194</v>
      </c>
      <c r="G31" s="8">
        <v>54</v>
      </c>
      <c r="H31" s="9">
        <v>0.2783505154639175</v>
      </c>
      <c r="I31" s="8">
        <v>150</v>
      </c>
      <c r="J31" s="8">
        <v>29100</v>
      </c>
      <c r="K31" s="8">
        <v>8100</v>
      </c>
    </row>
    <row x14ac:dyDescent="0.25" r="32" customHeight="1" ht="18.75">
      <c r="A32" s="4" t="s">
        <v>8</v>
      </c>
      <c r="B32" s="4" t="s">
        <v>31</v>
      </c>
      <c r="C32" s="4" t="s">
        <v>35</v>
      </c>
      <c r="D32" s="4" t="s">
        <v>71</v>
      </c>
      <c r="E32" s="5">
        <v>319</v>
      </c>
      <c r="F32" s="5">
        <v>415</v>
      </c>
      <c r="G32" s="5">
        <v>96</v>
      </c>
      <c r="H32" s="6">
        <v>0.2313253012048193</v>
      </c>
      <c r="I32" s="5">
        <v>275</v>
      </c>
      <c r="J32" s="5">
        <v>114125</v>
      </c>
      <c r="K32" s="5">
        <v>26400</v>
      </c>
    </row>
    <row x14ac:dyDescent="0.25" r="33" customHeight="1" ht="18.75">
      <c r="A33" s="7" t="s">
        <v>8</v>
      </c>
      <c r="B33" s="7" t="s">
        <v>31</v>
      </c>
      <c r="C33" s="7" t="s">
        <v>35</v>
      </c>
      <c r="D33" s="7" t="s">
        <v>72</v>
      </c>
      <c r="E33" s="8">
        <v>303</v>
      </c>
      <c r="F33" s="8">
        <v>380</v>
      </c>
      <c r="G33" s="8">
        <v>77</v>
      </c>
      <c r="H33" s="9">
        <v>0.2026315789473684</v>
      </c>
      <c r="I33" s="8">
        <v>210</v>
      </c>
      <c r="J33" s="8">
        <v>79800</v>
      </c>
      <c r="K33" s="8">
        <v>16170</v>
      </c>
    </row>
    <row x14ac:dyDescent="0.25" r="34" customHeight="1" ht="18.75">
      <c r="A34" s="4" t="s">
        <v>8</v>
      </c>
      <c r="B34" s="4" t="s">
        <v>31</v>
      </c>
      <c r="C34" s="4" t="s">
        <v>35</v>
      </c>
      <c r="D34" s="4" t="s">
        <v>74</v>
      </c>
      <c r="E34" s="5">
        <v>139</v>
      </c>
      <c r="F34" s="5">
        <v>194</v>
      </c>
      <c r="G34" s="5">
        <v>55</v>
      </c>
      <c r="H34" s="6">
        <v>0.2835051546391752</v>
      </c>
      <c r="I34" s="5">
        <v>150</v>
      </c>
      <c r="J34" s="5">
        <v>29100</v>
      </c>
      <c r="K34" s="5">
        <v>8250</v>
      </c>
    </row>
    <row x14ac:dyDescent="0.25" r="35" customHeight="1" ht="18.75">
      <c r="A35" s="7" t="s">
        <v>8</v>
      </c>
      <c r="B35" s="7" t="s">
        <v>31</v>
      </c>
      <c r="C35" s="7" t="s">
        <v>36</v>
      </c>
      <c r="D35" s="7" t="s">
        <v>71</v>
      </c>
      <c r="E35" s="8">
        <v>347</v>
      </c>
      <c r="F35" s="8">
        <v>415</v>
      </c>
      <c r="G35" s="8">
        <v>68</v>
      </c>
      <c r="H35" s="9">
        <v>0.163855421686747</v>
      </c>
      <c r="I35" s="8">
        <v>275</v>
      </c>
      <c r="J35" s="8">
        <v>114125</v>
      </c>
      <c r="K35" s="8">
        <v>18700</v>
      </c>
    </row>
    <row x14ac:dyDescent="0.25" r="36" customHeight="1" ht="18.75">
      <c r="A36" s="4" t="s">
        <v>8</v>
      </c>
      <c r="B36" s="4" t="s">
        <v>31</v>
      </c>
      <c r="C36" s="4" t="s">
        <v>36</v>
      </c>
      <c r="D36" s="4" t="s">
        <v>72</v>
      </c>
      <c r="E36" s="5">
        <v>318</v>
      </c>
      <c r="F36" s="5">
        <v>380</v>
      </c>
      <c r="G36" s="5">
        <v>62</v>
      </c>
      <c r="H36" s="6">
        <v>0.1631578947368421</v>
      </c>
      <c r="I36" s="5">
        <v>210</v>
      </c>
      <c r="J36" s="5">
        <v>79800</v>
      </c>
      <c r="K36" s="5">
        <v>13020</v>
      </c>
    </row>
    <row x14ac:dyDescent="0.25" r="37" customHeight="1" ht="18.75">
      <c r="A37" s="7" t="s">
        <v>8</v>
      </c>
      <c r="B37" s="7" t="s">
        <v>31</v>
      </c>
      <c r="C37" s="7" t="s">
        <v>36</v>
      </c>
      <c r="D37" s="7" t="s">
        <v>74</v>
      </c>
      <c r="E37" s="8">
        <v>143</v>
      </c>
      <c r="F37" s="8">
        <v>194</v>
      </c>
      <c r="G37" s="8">
        <v>51</v>
      </c>
      <c r="H37" s="9">
        <v>0.2628865979381443</v>
      </c>
      <c r="I37" s="8">
        <v>150</v>
      </c>
      <c r="J37" s="8">
        <v>29100</v>
      </c>
      <c r="K37" s="8">
        <v>7650</v>
      </c>
    </row>
    <row x14ac:dyDescent="0.25" r="38" customHeight="1" ht="18.75">
      <c r="A38" s="4" t="s">
        <v>9</v>
      </c>
      <c r="B38" s="4" t="s">
        <v>37</v>
      </c>
      <c r="C38" s="4" t="s">
        <v>26</v>
      </c>
      <c r="D38" s="4" t="s">
        <v>75</v>
      </c>
      <c r="E38" s="5">
        <v>196</v>
      </c>
      <c r="F38" s="5">
        <v>369</v>
      </c>
      <c r="G38" s="5">
        <v>173</v>
      </c>
      <c r="H38" s="6">
        <v>0.4688346883468835</v>
      </c>
      <c r="I38" s="5">
        <v>275</v>
      </c>
      <c r="J38" s="5">
        <v>101475</v>
      </c>
      <c r="K38" s="5">
        <v>47575</v>
      </c>
    </row>
    <row x14ac:dyDescent="0.25" r="39" customHeight="1" ht="18.75">
      <c r="A39" s="7" t="s">
        <v>9</v>
      </c>
      <c r="B39" s="7" t="s">
        <v>37</v>
      </c>
      <c r="C39" s="7" t="s">
        <v>26</v>
      </c>
      <c r="D39" s="7" t="s">
        <v>76</v>
      </c>
      <c r="E39" s="8">
        <v>139</v>
      </c>
      <c r="F39" s="8">
        <v>156</v>
      </c>
      <c r="G39" s="8">
        <v>17</v>
      </c>
      <c r="H39" s="9">
        <v>0.108974358974359</v>
      </c>
      <c r="I39" s="8">
        <v>210</v>
      </c>
      <c r="J39" s="8">
        <v>32760</v>
      </c>
      <c r="K39" s="8">
        <v>3570</v>
      </c>
    </row>
    <row x14ac:dyDescent="0.25" r="40" customHeight="1" ht="18.75">
      <c r="A40" s="4" t="s">
        <v>9</v>
      </c>
      <c r="B40" s="4" t="s">
        <v>37</v>
      </c>
      <c r="C40" s="4" t="s">
        <v>26</v>
      </c>
      <c r="D40" s="4" t="s">
        <v>77</v>
      </c>
      <c r="E40" s="5">
        <v>98</v>
      </c>
      <c r="F40" s="5">
        <v>101</v>
      </c>
      <c r="G40" s="5">
        <v>3</v>
      </c>
      <c r="H40" s="6">
        <v>0.0297029702970297</v>
      </c>
      <c r="I40" s="5">
        <v>150</v>
      </c>
      <c r="J40" s="5">
        <v>15150</v>
      </c>
      <c r="K40" s="5">
        <v>450</v>
      </c>
    </row>
    <row x14ac:dyDescent="0.25" r="41" customHeight="1" ht="18.75">
      <c r="A41" s="7" t="s">
        <v>9</v>
      </c>
      <c r="B41" s="7" t="s">
        <v>37</v>
      </c>
      <c r="C41" s="7" t="s">
        <v>28</v>
      </c>
      <c r="D41" s="7" t="s">
        <v>75</v>
      </c>
      <c r="E41" s="8">
        <v>123</v>
      </c>
      <c r="F41" s="8">
        <v>369</v>
      </c>
      <c r="G41" s="8">
        <v>246</v>
      </c>
      <c r="H41" s="9">
        <v>0.6666666666666666</v>
      </c>
      <c r="I41" s="8">
        <v>275</v>
      </c>
      <c r="J41" s="8">
        <v>101475</v>
      </c>
      <c r="K41" s="8">
        <v>67650</v>
      </c>
    </row>
    <row x14ac:dyDescent="0.25" r="42" customHeight="1" ht="18.75">
      <c r="A42" s="4" t="s">
        <v>9</v>
      </c>
      <c r="B42" s="4" t="s">
        <v>37</v>
      </c>
      <c r="C42" s="4" t="s">
        <v>28</v>
      </c>
      <c r="D42" s="4" t="s">
        <v>76</v>
      </c>
      <c r="E42" s="5">
        <v>117</v>
      </c>
      <c r="F42" s="5">
        <v>156</v>
      </c>
      <c r="G42" s="5">
        <v>39</v>
      </c>
      <c r="H42" s="6">
        <v>0.25</v>
      </c>
      <c r="I42" s="5">
        <v>210</v>
      </c>
      <c r="J42" s="5">
        <v>32760</v>
      </c>
      <c r="K42" s="5">
        <v>8190</v>
      </c>
    </row>
    <row x14ac:dyDescent="0.25" r="43" customHeight="1" ht="18.75">
      <c r="A43" s="7" t="s">
        <v>9</v>
      </c>
      <c r="B43" s="7" t="s">
        <v>37</v>
      </c>
      <c r="C43" s="7" t="s">
        <v>28</v>
      </c>
      <c r="D43" s="7" t="s">
        <v>77</v>
      </c>
      <c r="E43" s="8">
        <v>82</v>
      </c>
      <c r="F43" s="8">
        <v>101</v>
      </c>
      <c r="G43" s="8">
        <v>19</v>
      </c>
      <c r="H43" s="9">
        <v>0.1881188118811881</v>
      </c>
      <c r="I43" s="8">
        <v>150</v>
      </c>
      <c r="J43" s="8">
        <v>15150</v>
      </c>
      <c r="K43" s="8">
        <v>2850</v>
      </c>
    </row>
    <row x14ac:dyDescent="0.25" r="44" customHeight="1" ht="18.75">
      <c r="A44" s="4" t="s">
        <v>9</v>
      </c>
      <c r="B44" s="4" t="s">
        <v>37</v>
      </c>
      <c r="C44" s="4" t="s">
        <v>30</v>
      </c>
      <c r="D44" s="4" t="s">
        <v>75</v>
      </c>
      <c r="E44" s="5">
        <v>144</v>
      </c>
      <c r="F44" s="5">
        <v>369</v>
      </c>
      <c r="G44" s="5">
        <v>225</v>
      </c>
      <c r="H44" s="6">
        <v>0.6097560975609756</v>
      </c>
      <c r="I44" s="5">
        <v>275</v>
      </c>
      <c r="J44" s="5">
        <v>101475</v>
      </c>
      <c r="K44" s="5">
        <v>61875</v>
      </c>
    </row>
    <row x14ac:dyDescent="0.25" r="45" customHeight="1" ht="18.75">
      <c r="A45" s="7" t="s">
        <v>9</v>
      </c>
      <c r="B45" s="7" t="s">
        <v>37</v>
      </c>
      <c r="C45" s="7" t="s">
        <v>30</v>
      </c>
      <c r="D45" s="7" t="s">
        <v>76</v>
      </c>
      <c r="E45" s="8">
        <v>107</v>
      </c>
      <c r="F45" s="8">
        <v>156</v>
      </c>
      <c r="G45" s="8">
        <v>49</v>
      </c>
      <c r="H45" s="9">
        <v>0.3141025641025641</v>
      </c>
      <c r="I45" s="8">
        <v>210</v>
      </c>
      <c r="J45" s="8">
        <v>32760</v>
      </c>
      <c r="K45" s="8">
        <v>10290</v>
      </c>
    </row>
    <row x14ac:dyDescent="0.25" r="46" customHeight="1" ht="18.75">
      <c r="A46" s="4" t="s">
        <v>9</v>
      </c>
      <c r="B46" s="4" t="s">
        <v>37</v>
      </c>
      <c r="C46" s="4" t="s">
        <v>30</v>
      </c>
      <c r="D46" s="4" t="s">
        <v>77</v>
      </c>
      <c r="E46" s="5">
        <v>94</v>
      </c>
      <c r="F46" s="5">
        <v>101</v>
      </c>
      <c r="G46" s="5">
        <v>7</v>
      </c>
      <c r="H46" s="6">
        <v>0.06930693069306931</v>
      </c>
      <c r="I46" s="5">
        <v>150</v>
      </c>
      <c r="J46" s="5">
        <v>15150</v>
      </c>
      <c r="K46" s="5">
        <v>1050</v>
      </c>
    </row>
    <row x14ac:dyDescent="0.25" r="47" customHeight="1" ht="18.75">
      <c r="A47" s="7" t="s">
        <v>9</v>
      </c>
      <c r="B47" s="7" t="s">
        <v>37</v>
      </c>
      <c r="C47" s="7" t="s">
        <v>29</v>
      </c>
      <c r="D47" s="7" t="s">
        <v>75</v>
      </c>
      <c r="E47" s="8">
        <v>69</v>
      </c>
      <c r="F47" s="8">
        <v>369</v>
      </c>
      <c r="G47" s="8">
        <v>300</v>
      </c>
      <c r="H47" s="9">
        <v>0.8130081300813008</v>
      </c>
      <c r="I47" s="8">
        <v>275</v>
      </c>
      <c r="J47" s="8">
        <v>101475</v>
      </c>
      <c r="K47" s="8">
        <v>82500</v>
      </c>
    </row>
    <row x14ac:dyDescent="0.25" r="48" customHeight="1" ht="18.75">
      <c r="A48" s="4" t="s">
        <v>9</v>
      </c>
      <c r="B48" s="4" t="s">
        <v>37</v>
      </c>
      <c r="C48" s="4" t="s">
        <v>29</v>
      </c>
      <c r="D48" s="4" t="s">
        <v>76</v>
      </c>
      <c r="E48" s="5">
        <v>77</v>
      </c>
      <c r="F48" s="5">
        <v>156</v>
      </c>
      <c r="G48" s="5">
        <v>79</v>
      </c>
      <c r="H48" s="6">
        <v>0.5064102564102564</v>
      </c>
      <c r="I48" s="5">
        <v>210</v>
      </c>
      <c r="J48" s="5">
        <v>32760</v>
      </c>
      <c r="K48" s="5">
        <v>16590</v>
      </c>
    </row>
    <row x14ac:dyDescent="0.25" r="49" customHeight="1" ht="18.75">
      <c r="A49" s="7" t="s">
        <v>9</v>
      </c>
      <c r="B49" s="7" t="s">
        <v>37</v>
      </c>
      <c r="C49" s="7" t="s">
        <v>29</v>
      </c>
      <c r="D49" s="7" t="s">
        <v>77</v>
      </c>
      <c r="E49" s="8">
        <v>75</v>
      </c>
      <c r="F49" s="8">
        <v>101</v>
      </c>
      <c r="G49" s="8">
        <v>26</v>
      </c>
      <c r="H49" s="9">
        <v>0.2574257425742574</v>
      </c>
      <c r="I49" s="8">
        <v>150</v>
      </c>
      <c r="J49" s="8">
        <v>15150</v>
      </c>
      <c r="K49" s="8">
        <v>3900</v>
      </c>
    </row>
    <row x14ac:dyDescent="0.25" r="50" customHeight="1" ht="18.75">
      <c r="A50" s="4" t="s">
        <v>9</v>
      </c>
      <c r="B50" s="4" t="s">
        <v>37</v>
      </c>
      <c r="C50" s="4" t="s">
        <v>27</v>
      </c>
      <c r="D50" s="4" t="s">
        <v>75</v>
      </c>
      <c r="E50" s="5">
        <v>0</v>
      </c>
      <c r="F50" s="5">
        <v>369</v>
      </c>
      <c r="G50" s="5">
        <v>369</v>
      </c>
      <c r="H50" s="6">
        <v>1</v>
      </c>
      <c r="I50" s="5">
        <v>275</v>
      </c>
      <c r="J50" s="5">
        <v>101475</v>
      </c>
      <c r="K50" s="5">
        <v>101475</v>
      </c>
    </row>
    <row x14ac:dyDescent="0.25" r="51" customHeight="1" ht="18.75">
      <c r="A51" s="7" t="s">
        <v>9</v>
      </c>
      <c r="B51" s="7" t="s">
        <v>37</v>
      </c>
      <c r="C51" s="7" t="s">
        <v>27</v>
      </c>
      <c r="D51" s="7" t="s">
        <v>76</v>
      </c>
      <c r="E51" s="8">
        <v>0</v>
      </c>
      <c r="F51" s="8">
        <v>156</v>
      </c>
      <c r="G51" s="8">
        <v>156</v>
      </c>
      <c r="H51" s="9">
        <v>1</v>
      </c>
      <c r="I51" s="8">
        <v>210</v>
      </c>
      <c r="J51" s="8">
        <v>32760</v>
      </c>
      <c r="K51" s="8">
        <v>32760</v>
      </c>
    </row>
    <row x14ac:dyDescent="0.25" r="52" customHeight="1" ht="18.75">
      <c r="A52" s="4" t="s">
        <v>9</v>
      </c>
      <c r="B52" s="4" t="s">
        <v>37</v>
      </c>
      <c r="C52" s="4" t="s">
        <v>27</v>
      </c>
      <c r="D52" s="4" t="s">
        <v>77</v>
      </c>
      <c r="E52" s="5">
        <v>33</v>
      </c>
      <c r="F52" s="5">
        <v>101</v>
      </c>
      <c r="G52" s="5">
        <v>68</v>
      </c>
      <c r="H52" s="6">
        <v>0.6732673267326733</v>
      </c>
      <c r="I52" s="5">
        <v>150</v>
      </c>
      <c r="J52" s="5">
        <v>15150</v>
      </c>
      <c r="K52" s="5">
        <v>10200</v>
      </c>
    </row>
    <row x14ac:dyDescent="0.25" r="53" customHeight="1" ht="18.75">
      <c r="A53" s="7" t="s">
        <v>9</v>
      </c>
      <c r="B53" s="7" t="s">
        <v>37</v>
      </c>
      <c r="C53" s="7" t="s">
        <v>25</v>
      </c>
      <c r="D53" s="7" t="s">
        <v>75</v>
      </c>
      <c r="E53" s="8">
        <v>172</v>
      </c>
      <c r="F53" s="8">
        <v>369</v>
      </c>
      <c r="G53" s="8">
        <v>197</v>
      </c>
      <c r="H53" s="9">
        <v>0.5338753387533876</v>
      </c>
      <c r="I53" s="8">
        <v>275</v>
      </c>
      <c r="J53" s="8">
        <v>101475</v>
      </c>
      <c r="K53" s="8">
        <v>54175</v>
      </c>
    </row>
    <row x14ac:dyDescent="0.25" r="54" customHeight="1" ht="18.75">
      <c r="A54" s="4" t="s">
        <v>9</v>
      </c>
      <c r="B54" s="4" t="s">
        <v>37</v>
      </c>
      <c r="C54" s="4" t="s">
        <v>25</v>
      </c>
      <c r="D54" s="4" t="s">
        <v>76</v>
      </c>
      <c r="E54" s="5">
        <v>127</v>
      </c>
      <c r="F54" s="5">
        <v>156</v>
      </c>
      <c r="G54" s="5">
        <v>29</v>
      </c>
      <c r="H54" s="6">
        <v>0.1858974358974359</v>
      </c>
      <c r="I54" s="5">
        <v>210</v>
      </c>
      <c r="J54" s="5">
        <v>32760</v>
      </c>
      <c r="K54" s="5">
        <v>6090</v>
      </c>
    </row>
    <row x14ac:dyDescent="0.25" r="55" customHeight="1" ht="18.75">
      <c r="A55" s="7" t="s">
        <v>9</v>
      </c>
      <c r="B55" s="7" t="s">
        <v>37</v>
      </c>
      <c r="C55" s="7" t="s">
        <v>25</v>
      </c>
      <c r="D55" s="7" t="s">
        <v>77</v>
      </c>
      <c r="E55" s="8">
        <v>92</v>
      </c>
      <c r="F55" s="8">
        <v>101</v>
      </c>
      <c r="G55" s="8">
        <v>9</v>
      </c>
      <c r="H55" s="9">
        <v>0.0891089108910891</v>
      </c>
      <c r="I55" s="8">
        <v>150</v>
      </c>
      <c r="J55" s="8">
        <v>15150</v>
      </c>
      <c r="K55" s="8">
        <v>1350</v>
      </c>
    </row>
    <row x14ac:dyDescent="0.25" r="56" customHeight="1" ht="18.75">
      <c r="A56" s="4" t="s">
        <v>10</v>
      </c>
      <c r="B56" s="4" t="s">
        <v>38</v>
      </c>
      <c r="C56" s="4" t="s">
        <v>39</v>
      </c>
      <c r="D56" s="4" t="s">
        <v>78</v>
      </c>
      <c r="E56" s="5">
        <v>152</v>
      </c>
      <c r="F56" s="5">
        <v>329</v>
      </c>
      <c r="G56" s="5">
        <v>177</v>
      </c>
      <c r="H56" s="6">
        <v>0.5379939209726444</v>
      </c>
      <c r="I56" s="5">
        <v>275</v>
      </c>
      <c r="J56" s="5">
        <v>90475</v>
      </c>
      <c r="K56" s="5">
        <v>48675</v>
      </c>
    </row>
    <row x14ac:dyDescent="0.25" r="57" customHeight="1" ht="18.75">
      <c r="A57" s="7" t="s">
        <v>10</v>
      </c>
      <c r="B57" s="7" t="s">
        <v>38</v>
      </c>
      <c r="C57" s="7" t="s">
        <v>39</v>
      </c>
      <c r="D57" s="7" t="s">
        <v>71</v>
      </c>
      <c r="E57" s="8">
        <v>29</v>
      </c>
      <c r="F57" s="8">
        <v>87</v>
      </c>
      <c r="G57" s="8">
        <v>58</v>
      </c>
      <c r="H57" s="9">
        <v>0.6666666666666666</v>
      </c>
      <c r="I57" s="8">
        <v>210</v>
      </c>
      <c r="J57" s="8">
        <v>18270</v>
      </c>
      <c r="K57" s="8">
        <v>12180</v>
      </c>
    </row>
    <row x14ac:dyDescent="0.25" r="58" customHeight="1" ht="18.75">
      <c r="A58" s="4" t="s">
        <v>10</v>
      </c>
      <c r="B58" s="4" t="s">
        <v>38</v>
      </c>
      <c r="C58" s="4" t="s">
        <v>39</v>
      </c>
      <c r="D58" s="4" t="s">
        <v>72</v>
      </c>
      <c r="E58" s="5">
        <v>50</v>
      </c>
      <c r="F58" s="5">
        <v>87</v>
      </c>
      <c r="G58" s="5">
        <v>37</v>
      </c>
      <c r="H58" s="6">
        <v>0.4252873563218391</v>
      </c>
      <c r="I58" s="5">
        <v>150</v>
      </c>
      <c r="J58" s="5">
        <v>13050</v>
      </c>
      <c r="K58" s="5">
        <v>5550</v>
      </c>
    </row>
    <row x14ac:dyDescent="0.25" r="59" customHeight="1" ht="18.75">
      <c r="A59" s="7" t="s">
        <v>10</v>
      </c>
      <c r="B59" s="7" t="s">
        <v>38</v>
      </c>
      <c r="C59" s="7" t="s">
        <v>40</v>
      </c>
      <c r="D59" s="7" t="s">
        <v>78</v>
      </c>
      <c r="E59" s="8">
        <v>113</v>
      </c>
      <c r="F59" s="8">
        <v>329</v>
      </c>
      <c r="G59" s="8">
        <v>216</v>
      </c>
      <c r="H59" s="9">
        <v>0.6565349544072948</v>
      </c>
      <c r="I59" s="8">
        <v>275</v>
      </c>
      <c r="J59" s="8">
        <v>90475</v>
      </c>
      <c r="K59" s="8">
        <v>59400</v>
      </c>
    </row>
    <row x14ac:dyDescent="0.25" r="60" customHeight="1" ht="18.75">
      <c r="A60" s="4" t="s">
        <v>10</v>
      </c>
      <c r="B60" s="4" t="s">
        <v>38</v>
      </c>
      <c r="C60" s="4" t="s">
        <v>40</v>
      </c>
      <c r="D60" s="4" t="s">
        <v>71</v>
      </c>
      <c r="E60" s="5">
        <v>29</v>
      </c>
      <c r="F60" s="5">
        <v>87</v>
      </c>
      <c r="G60" s="5">
        <v>58</v>
      </c>
      <c r="H60" s="6">
        <v>0.6666666666666666</v>
      </c>
      <c r="I60" s="5">
        <v>210</v>
      </c>
      <c r="J60" s="5">
        <v>18270</v>
      </c>
      <c r="K60" s="5">
        <v>12180</v>
      </c>
    </row>
    <row x14ac:dyDescent="0.25" r="61" customHeight="1" ht="18.75">
      <c r="A61" s="7" t="s">
        <v>10</v>
      </c>
      <c r="B61" s="7" t="s">
        <v>38</v>
      </c>
      <c r="C61" s="7" t="s">
        <v>40</v>
      </c>
      <c r="D61" s="7" t="s">
        <v>72</v>
      </c>
      <c r="E61" s="8">
        <v>40</v>
      </c>
      <c r="F61" s="8">
        <v>87</v>
      </c>
      <c r="G61" s="8">
        <v>47</v>
      </c>
      <c r="H61" s="9">
        <v>0.5402298850574713</v>
      </c>
      <c r="I61" s="8">
        <v>150</v>
      </c>
      <c r="J61" s="8">
        <v>13050</v>
      </c>
      <c r="K61" s="8">
        <v>7050</v>
      </c>
    </row>
    <row x14ac:dyDescent="0.25" r="62" customHeight="1" ht="18.75">
      <c r="A62" s="4" t="s">
        <v>10</v>
      </c>
      <c r="B62" s="4" t="s">
        <v>38</v>
      </c>
      <c r="C62" s="4" t="s">
        <v>36</v>
      </c>
      <c r="D62" s="4" t="s">
        <v>78</v>
      </c>
      <c r="E62" s="5">
        <v>139</v>
      </c>
      <c r="F62" s="5">
        <v>329</v>
      </c>
      <c r="G62" s="5">
        <v>190</v>
      </c>
      <c r="H62" s="6">
        <v>0.5775075987841946</v>
      </c>
      <c r="I62" s="5">
        <v>275</v>
      </c>
      <c r="J62" s="5">
        <v>90475</v>
      </c>
      <c r="K62" s="5">
        <v>52250</v>
      </c>
    </row>
    <row x14ac:dyDescent="0.25" r="63" customHeight="1" ht="18.75">
      <c r="A63" s="7" t="s">
        <v>10</v>
      </c>
      <c r="B63" s="7" t="s">
        <v>38</v>
      </c>
      <c r="C63" s="7" t="s">
        <v>36</v>
      </c>
      <c r="D63" s="7" t="s">
        <v>71</v>
      </c>
      <c r="E63" s="8">
        <v>45</v>
      </c>
      <c r="F63" s="8">
        <v>87</v>
      </c>
      <c r="G63" s="8">
        <v>42</v>
      </c>
      <c r="H63" s="9">
        <v>0.4827586206896552</v>
      </c>
      <c r="I63" s="8">
        <v>210</v>
      </c>
      <c r="J63" s="8">
        <v>18270</v>
      </c>
      <c r="K63" s="8">
        <v>8820</v>
      </c>
    </row>
    <row x14ac:dyDescent="0.25" r="64" customHeight="1" ht="18.75">
      <c r="A64" s="4" t="s">
        <v>10</v>
      </c>
      <c r="B64" s="4" t="s">
        <v>38</v>
      </c>
      <c r="C64" s="4" t="s">
        <v>36</v>
      </c>
      <c r="D64" s="4" t="s">
        <v>72</v>
      </c>
      <c r="E64" s="5">
        <v>62</v>
      </c>
      <c r="F64" s="5">
        <v>87</v>
      </c>
      <c r="G64" s="5">
        <v>25</v>
      </c>
      <c r="H64" s="6">
        <v>0.2873563218390804</v>
      </c>
      <c r="I64" s="5">
        <v>150</v>
      </c>
      <c r="J64" s="5">
        <v>13050</v>
      </c>
      <c r="K64" s="5">
        <v>3750</v>
      </c>
    </row>
    <row x14ac:dyDescent="0.25" r="65" customHeight="1" ht="18.75">
      <c r="A65" s="7" t="s">
        <v>10</v>
      </c>
      <c r="B65" s="7" t="s">
        <v>38</v>
      </c>
      <c r="C65" s="7" t="s">
        <v>41</v>
      </c>
      <c r="D65" s="7" t="s">
        <v>78</v>
      </c>
      <c r="E65" s="8">
        <v>126</v>
      </c>
      <c r="F65" s="8">
        <v>329</v>
      </c>
      <c r="G65" s="8">
        <v>203</v>
      </c>
      <c r="H65" s="9">
        <v>0.6170212765957447</v>
      </c>
      <c r="I65" s="8">
        <v>275</v>
      </c>
      <c r="J65" s="8">
        <v>90475</v>
      </c>
      <c r="K65" s="8">
        <v>55825</v>
      </c>
    </row>
    <row x14ac:dyDescent="0.25" r="66" customHeight="1" ht="18.75">
      <c r="A66" s="4" t="s">
        <v>10</v>
      </c>
      <c r="B66" s="4" t="s">
        <v>38</v>
      </c>
      <c r="C66" s="4" t="s">
        <v>41</v>
      </c>
      <c r="D66" s="4" t="s">
        <v>71</v>
      </c>
      <c r="E66" s="5">
        <v>32</v>
      </c>
      <c r="F66" s="5">
        <v>87</v>
      </c>
      <c r="G66" s="5">
        <v>55</v>
      </c>
      <c r="H66" s="6">
        <v>0.632183908045977</v>
      </c>
      <c r="I66" s="5">
        <v>210</v>
      </c>
      <c r="J66" s="5">
        <v>18270</v>
      </c>
      <c r="K66" s="5">
        <v>11550</v>
      </c>
    </row>
    <row x14ac:dyDescent="0.25" r="67" customHeight="1" ht="18.75">
      <c r="A67" s="7" t="s">
        <v>10</v>
      </c>
      <c r="B67" s="7" t="s">
        <v>38</v>
      </c>
      <c r="C67" s="7" t="s">
        <v>41</v>
      </c>
      <c r="D67" s="7" t="s">
        <v>72</v>
      </c>
      <c r="E67" s="8">
        <v>43</v>
      </c>
      <c r="F67" s="8">
        <v>87</v>
      </c>
      <c r="G67" s="8">
        <v>44</v>
      </c>
      <c r="H67" s="9">
        <v>0.5057471264367817</v>
      </c>
      <c r="I67" s="8">
        <v>150</v>
      </c>
      <c r="J67" s="8">
        <v>13050</v>
      </c>
      <c r="K67" s="8">
        <v>6600</v>
      </c>
    </row>
    <row x14ac:dyDescent="0.25" r="68" customHeight="1" ht="18.75">
      <c r="A68" s="4" t="s">
        <v>10</v>
      </c>
      <c r="B68" s="4" t="s">
        <v>38</v>
      </c>
      <c r="C68" s="4" t="s">
        <v>42</v>
      </c>
      <c r="D68" s="4" t="s">
        <v>78</v>
      </c>
      <c r="E68" s="5">
        <v>106</v>
      </c>
      <c r="F68" s="5">
        <v>329</v>
      </c>
      <c r="G68" s="5">
        <v>223</v>
      </c>
      <c r="H68" s="6">
        <v>0.6778115501519757</v>
      </c>
      <c r="I68" s="5">
        <v>275</v>
      </c>
      <c r="J68" s="5">
        <v>90475</v>
      </c>
      <c r="K68" s="5">
        <v>61325</v>
      </c>
    </row>
    <row x14ac:dyDescent="0.25" r="69" customHeight="1" ht="18.75">
      <c r="A69" s="7" t="s">
        <v>10</v>
      </c>
      <c r="B69" s="7" t="s">
        <v>38</v>
      </c>
      <c r="C69" s="7" t="s">
        <v>42</v>
      </c>
      <c r="D69" s="7" t="s">
        <v>71</v>
      </c>
      <c r="E69" s="8">
        <v>22</v>
      </c>
      <c r="F69" s="8">
        <v>87</v>
      </c>
      <c r="G69" s="8">
        <v>65</v>
      </c>
      <c r="H69" s="9">
        <v>0.7471264367816092</v>
      </c>
      <c r="I69" s="8">
        <v>210</v>
      </c>
      <c r="J69" s="8">
        <v>18270</v>
      </c>
      <c r="K69" s="8">
        <v>13650</v>
      </c>
    </row>
    <row x14ac:dyDescent="0.25" r="70" customHeight="1" ht="18.75">
      <c r="A70" s="4" t="s">
        <v>10</v>
      </c>
      <c r="B70" s="4" t="s">
        <v>38</v>
      </c>
      <c r="C70" s="4" t="s">
        <v>42</v>
      </c>
      <c r="D70" s="4" t="s">
        <v>72</v>
      </c>
      <c r="E70" s="5">
        <v>55</v>
      </c>
      <c r="F70" s="5">
        <v>87</v>
      </c>
      <c r="G70" s="5">
        <v>32</v>
      </c>
      <c r="H70" s="6">
        <v>0.367816091954023</v>
      </c>
      <c r="I70" s="5">
        <v>150</v>
      </c>
      <c r="J70" s="5">
        <v>13050</v>
      </c>
      <c r="K70" s="5">
        <v>4800</v>
      </c>
    </row>
    <row x14ac:dyDescent="0.25" r="71" customHeight="1" ht="18.75">
      <c r="A71" s="7" t="s">
        <v>10</v>
      </c>
      <c r="B71" s="7" t="s">
        <v>38</v>
      </c>
      <c r="C71" s="7" t="s">
        <v>43</v>
      </c>
      <c r="D71" s="7" t="s">
        <v>78</v>
      </c>
      <c r="E71" s="8">
        <v>3</v>
      </c>
      <c r="F71" s="8">
        <v>266</v>
      </c>
      <c r="G71" s="8">
        <v>263</v>
      </c>
      <c r="H71" s="9">
        <v>0.9887218045112782</v>
      </c>
      <c r="I71" s="8">
        <v>275</v>
      </c>
      <c r="J71" s="8">
        <v>73150</v>
      </c>
      <c r="K71" s="8">
        <v>72325</v>
      </c>
    </row>
    <row x14ac:dyDescent="0.25" r="72" customHeight="1" ht="18.75">
      <c r="A72" s="4" t="s">
        <v>10</v>
      </c>
      <c r="B72" s="4" t="s">
        <v>38</v>
      </c>
      <c r="C72" s="4" t="s">
        <v>43</v>
      </c>
      <c r="D72" s="4" t="s">
        <v>71</v>
      </c>
      <c r="E72" s="5">
        <v>1</v>
      </c>
      <c r="F72" s="5">
        <v>63</v>
      </c>
      <c r="G72" s="5">
        <v>62</v>
      </c>
      <c r="H72" s="6">
        <v>0.9841269841269841</v>
      </c>
      <c r="I72" s="5">
        <v>210</v>
      </c>
      <c r="J72" s="5">
        <v>13230</v>
      </c>
      <c r="K72" s="5">
        <v>13020</v>
      </c>
    </row>
    <row x14ac:dyDescent="0.25" r="73" customHeight="1" ht="18.75">
      <c r="A73" s="7" t="s">
        <v>10</v>
      </c>
      <c r="B73" s="7" t="s">
        <v>38</v>
      </c>
      <c r="C73" s="7" t="s">
        <v>43</v>
      </c>
      <c r="D73" s="7" t="s">
        <v>72</v>
      </c>
      <c r="E73" s="8">
        <v>3</v>
      </c>
      <c r="F73" s="8">
        <v>87</v>
      </c>
      <c r="G73" s="8">
        <v>84</v>
      </c>
      <c r="H73" s="9">
        <v>0.9655172413793104</v>
      </c>
      <c r="I73" s="8">
        <v>150</v>
      </c>
      <c r="J73" s="8">
        <v>13050</v>
      </c>
      <c r="K73" s="8">
        <v>12600</v>
      </c>
    </row>
    <row x14ac:dyDescent="0.25" r="74" customHeight="1" ht="18.75">
      <c r="A74" s="4" t="s">
        <v>11</v>
      </c>
      <c r="B74" s="4" t="s">
        <v>44</v>
      </c>
      <c r="C74" s="4" t="s">
        <v>36</v>
      </c>
      <c r="D74" s="4" t="s">
        <v>79</v>
      </c>
      <c r="E74" s="5">
        <v>1</v>
      </c>
      <c r="F74" s="5">
        <v>26</v>
      </c>
      <c r="G74" s="5">
        <v>25</v>
      </c>
      <c r="H74" s="6">
        <v>0.9615384615384616</v>
      </c>
      <c r="I74" s="5">
        <v>335</v>
      </c>
      <c r="J74" s="5">
        <v>8710</v>
      </c>
      <c r="K74" s="5">
        <v>8375</v>
      </c>
    </row>
    <row x14ac:dyDescent="0.25" r="75" customHeight="1" ht="18.75">
      <c r="A75" s="7" t="s">
        <v>11</v>
      </c>
      <c r="B75" s="7" t="s">
        <v>44</v>
      </c>
      <c r="C75" s="7" t="s">
        <v>36</v>
      </c>
      <c r="D75" s="7" t="s">
        <v>71</v>
      </c>
      <c r="E75" s="8">
        <v>7</v>
      </c>
      <c r="F75" s="8">
        <v>502</v>
      </c>
      <c r="G75" s="8">
        <v>495</v>
      </c>
      <c r="H75" s="9">
        <v>0.9860557768924303</v>
      </c>
      <c r="I75" s="8">
        <v>275</v>
      </c>
      <c r="J75" s="8">
        <v>138050</v>
      </c>
      <c r="K75" s="8">
        <v>136125</v>
      </c>
    </row>
    <row x14ac:dyDescent="0.25" r="76" customHeight="1" ht="18.75">
      <c r="A76" s="4" t="s">
        <v>11</v>
      </c>
      <c r="B76" s="4" t="s">
        <v>44</v>
      </c>
      <c r="C76" s="4" t="s">
        <v>36</v>
      </c>
      <c r="D76" s="4" t="s">
        <v>72</v>
      </c>
      <c r="E76" s="5">
        <v>1</v>
      </c>
      <c r="F76" s="5">
        <v>173</v>
      </c>
      <c r="G76" s="5">
        <v>172</v>
      </c>
      <c r="H76" s="6">
        <v>0.9942196531791907</v>
      </c>
      <c r="I76" s="5">
        <v>210</v>
      </c>
      <c r="J76" s="5">
        <v>36330</v>
      </c>
      <c r="K76" s="5">
        <v>36120</v>
      </c>
    </row>
    <row x14ac:dyDescent="0.25" r="77" customHeight="1" ht="18.75">
      <c r="A77" s="7" t="s">
        <v>11</v>
      </c>
      <c r="B77" s="7" t="s">
        <v>44</v>
      </c>
      <c r="C77" s="7" t="s">
        <v>36</v>
      </c>
      <c r="D77" s="7" t="s">
        <v>74</v>
      </c>
      <c r="E77" s="8">
        <v>11</v>
      </c>
      <c r="F77" s="8">
        <v>144</v>
      </c>
      <c r="G77" s="8">
        <v>133</v>
      </c>
      <c r="H77" s="9">
        <v>0.9236111111111112</v>
      </c>
      <c r="I77" s="8">
        <v>150</v>
      </c>
      <c r="J77" s="8">
        <v>21600</v>
      </c>
      <c r="K77" s="8">
        <v>19950</v>
      </c>
    </row>
    <row x14ac:dyDescent="0.25" r="78" customHeight="1" ht="18.75">
      <c r="A78" s="4" t="s">
        <v>11</v>
      </c>
      <c r="B78" s="4" t="s">
        <v>44</v>
      </c>
      <c r="C78" s="4" t="s">
        <v>34</v>
      </c>
      <c r="D78" s="4" t="s">
        <v>79</v>
      </c>
      <c r="E78" s="5">
        <v>1</v>
      </c>
      <c r="F78" s="5">
        <v>26</v>
      </c>
      <c r="G78" s="5">
        <v>25</v>
      </c>
      <c r="H78" s="6">
        <v>0.9615384615384616</v>
      </c>
      <c r="I78" s="5">
        <v>335</v>
      </c>
      <c r="J78" s="5">
        <v>8710</v>
      </c>
      <c r="K78" s="5">
        <v>8375</v>
      </c>
    </row>
    <row x14ac:dyDescent="0.25" r="79" customHeight="1" ht="18.75">
      <c r="A79" s="7" t="s">
        <v>11</v>
      </c>
      <c r="B79" s="7" t="s">
        <v>44</v>
      </c>
      <c r="C79" s="7" t="s">
        <v>34</v>
      </c>
      <c r="D79" s="7" t="s">
        <v>71</v>
      </c>
      <c r="E79" s="8">
        <v>1</v>
      </c>
      <c r="F79" s="8">
        <v>502</v>
      </c>
      <c r="G79" s="8">
        <v>501</v>
      </c>
      <c r="H79" s="9">
        <v>0.99800796812749</v>
      </c>
      <c r="I79" s="8">
        <v>275</v>
      </c>
      <c r="J79" s="8">
        <v>138050</v>
      </c>
      <c r="K79" s="8">
        <v>137775</v>
      </c>
    </row>
    <row x14ac:dyDescent="0.25" r="80" customHeight="1" ht="18.75">
      <c r="A80" s="4" t="s">
        <v>11</v>
      </c>
      <c r="B80" s="4" t="s">
        <v>44</v>
      </c>
      <c r="C80" s="4" t="s">
        <v>34</v>
      </c>
      <c r="D80" s="4" t="s">
        <v>72</v>
      </c>
      <c r="E80" s="5">
        <v>1</v>
      </c>
      <c r="F80" s="5">
        <v>173</v>
      </c>
      <c r="G80" s="5">
        <v>172</v>
      </c>
      <c r="H80" s="6">
        <v>0.9942196531791907</v>
      </c>
      <c r="I80" s="5">
        <v>210</v>
      </c>
      <c r="J80" s="5">
        <v>36330</v>
      </c>
      <c r="K80" s="5">
        <v>36120</v>
      </c>
    </row>
    <row x14ac:dyDescent="0.25" r="81" customHeight="1" ht="18.75">
      <c r="A81" s="7" t="s">
        <v>11</v>
      </c>
      <c r="B81" s="7" t="s">
        <v>44</v>
      </c>
      <c r="C81" s="7" t="s">
        <v>34</v>
      </c>
      <c r="D81" s="7" t="s">
        <v>74</v>
      </c>
      <c r="E81" s="8">
        <v>24</v>
      </c>
      <c r="F81" s="8">
        <v>144</v>
      </c>
      <c r="G81" s="8">
        <v>120</v>
      </c>
      <c r="H81" s="9">
        <v>0.8333333333333334</v>
      </c>
      <c r="I81" s="8">
        <v>150</v>
      </c>
      <c r="J81" s="8">
        <v>21600</v>
      </c>
      <c r="K81" s="8">
        <v>18000</v>
      </c>
    </row>
    <row x14ac:dyDescent="0.25" r="82" customHeight="1" ht="18.75">
      <c r="A82" s="4" t="s">
        <v>11</v>
      </c>
      <c r="B82" s="4" t="s">
        <v>44</v>
      </c>
      <c r="C82" s="4" t="s">
        <v>33</v>
      </c>
      <c r="D82" s="4" t="s">
        <v>79</v>
      </c>
      <c r="E82" s="5">
        <v>0</v>
      </c>
      <c r="F82" s="5">
        <v>26</v>
      </c>
      <c r="G82" s="5">
        <v>26</v>
      </c>
      <c r="H82" s="6">
        <v>1</v>
      </c>
      <c r="I82" s="5">
        <v>335</v>
      </c>
      <c r="J82" s="5">
        <v>8710</v>
      </c>
      <c r="K82" s="5">
        <v>8710</v>
      </c>
    </row>
    <row x14ac:dyDescent="0.25" r="83" customHeight="1" ht="18.75">
      <c r="A83" s="7" t="s">
        <v>11</v>
      </c>
      <c r="B83" s="7" t="s">
        <v>44</v>
      </c>
      <c r="C83" s="7" t="s">
        <v>33</v>
      </c>
      <c r="D83" s="7" t="s">
        <v>71</v>
      </c>
      <c r="E83" s="8">
        <v>0</v>
      </c>
      <c r="F83" s="8">
        <v>502</v>
      </c>
      <c r="G83" s="8">
        <v>502</v>
      </c>
      <c r="H83" s="9">
        <v>1</v>
      </c>
      <c r="I83" s="8">
        <v>275</v>
      </c>
      <c r="J83" s="8">
        <v>138050</v>
      </c>
      <c r="K83" s="8">
        <v>138050</v>
      </c>
    </row>
    <row x14ac:dyDescent="0.25" r="84" customHeight="1" ht="18.75">
      <c r="A84" s="4" t="s">
        <v>11</v>
      </c>
      <c r="B84" s="4" t="s">
        <v>44</v>
      </c>
      <c r="C84" s="4" t="s">
        <v>33</v>
      </c>
      <c r="D84" s="4" t="s">
        <v>72</v>
      </c>
      <c r="E84" s="5">
        <v>0</v>
      </c>
      <c r="F84" s="5">
        <v>173</v>
      </c>
      <c r="G84" s="5">
        <v>173</v>
      </c>
      <c r="H84" s="6">
        <v>1</v>
      </c>
      <c r="I84" s="5">
        <v>210</v>
      </c>
      <c r="J84" s="5">
        <v>36330</v>
      </c>
      <c r="K84" s="5">
        <v>36330</v>
      </c>
    </row>
    <row x14ac:dyDescent="0.25" r="85" customHeight="1" ht="18.75">
      <c r="A85" s="7" t="s">
        <v>11</v>
      </c>
      <c r="B85" s="7" t="s">
        <v>44</v>
      </c>
      <c r="C85" s="7" t="s">
        <v>33</v>
      </c>
      <c r="D85" s="7" t="s">
        <v>74</v>
      </c>
      <c r="E85" s="8">
        <v>0</v>
      </c>
      <c r="F85" s="8">
        <v>144</v>
      </c>
      <c r="G85" s="8">
        <v>144</v>
      </c>
      <c r="H85" s="9">
        <v>1</v>
      </c>
      <c r="I85" s="8">
        <v>150</v>
      </c>
      <c r="J85" s="8">
        <v>21600</v>
      </c>
      <c r="K85" s="8">
        <v>21600</v>
      </c>
    </row>
    <row x14ac:dyDescent="0.25" r="86" customHeight="1" ht="18.75">
      <c r="A86" s="4" t="s">
        <v>11</v>
      </c>
      <c r="B86" s="4" t="s">
        <v>44</v>
      </c>
      <c r="C86" s="4" t="s">
        <v>27</v>
      </c>
      <c r="D86" s="4" t="s">
        <v>79</v>
      </c>
      <c r="E86" s="5">
        <v>0</v>
      </c>
      <c r="F86" s="5">
        <v>26</v>
      </c>
      <c r="G86" s="5">
        <v>26</v>
      </c>
      <c r="H86" s="6">
        <v>1</v>
      </c>
      <c r="I86" s="5">
        <v>335</v>
      </c>
      <c r="J86" s="5">
        <v>8710</v>
      </c>
      <c r="K86" s="5">
        <v>8710</v>
      </c>
    </row>
    <row x14ac:dyDescent="0.25" r="87" customHeight="1" ht="18.75">
      <c r="A87" s="7" t="s">
        <v>11</v>
      </c>
      <c r="B87" s="7" t="s">
        <v>44</v>
      </c>
      <c r="C87" s="7" t="s">
        <v>27</v>
      </c>
      <c r="D87" s="7" t="s">
        <v>71</v>
      </c>
      <c r="E87" s="8">
        <v>0</v>
      </c>
      <c r="F87" s="8">
        <v>502</v>
      </c>
      <c r="G87" s="8">
        <v>502</v>
      </c>
      <c r="H87" s="9">
        <v>1</v>
      </c>
      <c r="I87" s="8">
        <v>275</v>
      </c>
      <c r="J87" s="8">
        <v>138050</v>
      </c>
      <c r="K87" s="8">
        <v>138050</v>
      </c>
    </row>
    <row x14ac:dyDescent="0.25" r="88" customHeight="1" ht="18.75">
      <c r="A88" s="4" t="s">
        <v>11</v>
      </c>
      <c r="B88" s="4" t="s">
        <v>44</v>
      </c>
      <c r="C88" s="4" t="s">
        <v>27</v>
      </c>
      <c r="D88" s="4" t="s">
        <v>72</v>
      </c>
      <c r="E88" s="5">
        <v>0</v>
      </c>
      <c r="F88" s="5">
        <v>173</v>
      </c>
      <c r="G88" s="5">
        <v>173</v>
      </c>
      <c r="H88" s="6">
        <v>1</v>
      </c>
      <c r="I88" s="5">
        <v>210</v>
      </c>
      <c r="J88" s="5">
        <v>36330</v>
      </c>
      <c r="K88" s="5">
        <v>36330</v>
      </c>
    </row>
    <row x14ac:dyDescent="0.25" r="89" customHeight="1" ht="18.75">
      <c r="A89" s="7" t="s">
        <v>11</v>
      </c>
      <c r="B89" s="7" t="s">
        <v>44</v>
      </c>
      <c r="C89" s="7" t="s">
        <v>27</v>
      </c>
      <c r="D89" s="7" t="s">
        <v>74</v>
      </c>
      <c r="E89" s="8">
        <v>0</v>
      </c>
      <c r="F89" s="8">
        <v>144</v>
      </c>
      <c r="G89" s="8">
        <v>144</v>
      </c>
      <c r="H89" s="9">
        <v>1</v>
      </c>
      <c r="I89" s="8">
        <v>150</v>
      </c>
      <c r="J89" s="8">
        <v>21600</v>
      </c>
      <c r="K89" s="8">
        <v>21600</v>
      </c>
    </row>
    <row x14ac:dyDescent="0.25" r="90" customHeight="1" ht="18.75">
      <c r="A90" s="4" t="s">
        <v>11</v>
      </c>
      <c r="B90" s="4" t="s">
        <v>44</v>
      </c>
      <c r="C90" s="4" t="s">
        <v>32</v>
      </c>
      <c r="D90" s="4" t="s">
        <v>79</v>
      </c>
      <c r="E90" s="5">
        <v>1</v>
      </c>
      <c r="F90" s="5">
        <v>26</v>
      </c>
      <c r="G90" s="5">
        <v>25</v>
      </c>
      <c r="H90" s="6">
        <v>0.9615384615384616</v>
      </c>
      <c r="I90" s="5">
        <v>335</v>
      </c>
      <c r="J90" s="5">
        <v>8710</v>
      </c>
      <c r="K90" s="5">
        <v>8375</v>
      </c>
    </row>
    <row x14ac:dyDescent="0.25" r="91" customHeight="1" ht="18.75">
      <c r="A91" s="7" t="s">
        <v>11</v>
      </c>
      <c r="B91" s="7" t="s">
        <v>44</v>
      </c>
      <c r="C91" s="7" t="s">
        <v>32</v>
      </c>
      <c r="D91" s="7" t="s">
        <v>71</v>
      </c>
      <c r="E91" s="8">
        <v>34</v>
      </c>
      <c r="F91" s="8">
        <v>502</v>
      </c>
      <c r="G91" s="8">
        <v>468</v>
      </c>
      <c r="H91" s="9">
        <v>0.9322709163346613</v>
      </c>
      <c r="I91" s="8">
        <v>275</v>
      </c>
      <c r="J91" s="8">
        <v>138050</v>
      </c>
      <c r="K91" s="8">
        <v>128700</v>
      </c>
    </row>
    <row x14ac:dyDescent="0.25" r="92" customHeight="1" ht="18.75">
      <c r="A92" s="4" t="s">
        <v>11</v>
      </c>
      <c r="B92" s="4" t="s">
        <v>44</v>
      </c>
      <c r="C92" s="4" t="s">
        <v>32</v>
      </c>
      <c r="D92" s="4" t="s">
        <v>72</v>
      </c>
      <c r="E92" s="5">
        <v>1</v>
      </c>
      <c r="F92" s="5">
        <v>173</v>
      </c>
      <c r="G92" s="5">
        <v>172</v>
      </c>
      <c r="H92" s="6">
        <v>0.9942196531791907</v>
      </c>
      <c r="I92" s="5">
        <v>210</v>
      </c>
      <c r="J92" s="5">
        <v>36330</v>
      </c>
      <c r="K92" s="5">
        <v>36120</v>
      </c>
    </row>
    <row x14ac:dyDescent="0.25" r="93" customHeight="1" ht="18.75">
      <c r="A93" s="7" t="s">
        <v>11</v>
      </c>
      <c r="B93" s="7" t="s">
        <v>44</v>
      </c>
      <c r="C93" s="7" t="s">
        <v>32</v>
      </c>
      <c r="D93" s="7" t="s">
        <v>74</v>
      </c>
      <c r="E93" s="8">
        <v>1</v>
      </c>
      <c r="F93" s="8">
        <v>144</v>
      </c>
      <c r="G93" s="8">
        <v>143</v>
      </c>
      <c r="H93" s="9">
        <v>0.9930555555555556</v>
      </c>
      <c r="I93" s="8">
        <v>150</v>
      </c>
      <c r="J93" s="8">
        <v>21600</v>
      </c>
      <c r="K93" s="8">
        <v>21450</v>
      </c>
    </row>
    <row x14ac:dyDescent="0.25" r="94" customHeight="1" ht="18.75">
      <c r="A94" s="4" t="s">
        <v>11</v>
      </c>
      <c r="B94" s="4" t="s">
        <v>44</v>
      </c>
      <c r="C94" s="4" t="s">
        <v>35</v>
      </c>
      <c r="D94" s="4" t="s">
        <v>79</v>
      </c>
      <c r="E94" s="5">
        <v>1</v>
      </c>
      <c r="F94" s="5">
        <v>26</v>
      </c>
      <c r="G94" s="5">
        <v>25</v>
      </c>
      <c r="H94" s="6">
        <v>0.9615384615384616</v>
      </c>
      <c r="I94" s="5">
        <v>335</v>
      </c>
      <c r="J94" s="5">
        <v>8710</v>
      </c>
      <c r="K94" s="5">
        <v>8375</v>
      </c>
    </row>
    <row x14ac:dyDescent="0.25" r="95" customHeight="1" ht="18.75">
      <c r="A95" s="7" t="s">
        <v>11</v>
      </c>
      <c r="B95" s="7" t="s">
        <v>44</v>
      </c>
      <c r="C95" s="7" t="s">
        <v>35</v>
      </c>
      <c r="D95" s="7" t="s">
        <v>71</v>
      </c>
      <c r="E95" s="8">
        <v>2</v>
      </c>
      <c r="F95" s="8">
        <v>502</v>
      </c>
      <c r="G95" s="8">
        <v>500</v>
      </c>
      <c r="H95" s="9">
        <v>0.9960159362549801</v>
      </c>
      <c r="I95" s="8">
        <v>275</v>
      </c>
      <c r="J95" s="8">
        <v>138050</v>
      </c>
      <c r="K95" s="8">
        <v>137500</v>
      </c>
    </row>
    <row x14ac:dyDescent="0.25" r="96" customHeight="1" ht="18.75">
      <c r="A96" s="4" t="s">
        <v>11</v>
      </c>
      <c r="B96" s="4" t="s">
        <v>44</v>
      </c>
      <c r="C96" s="4" t="s">
        <v>35</v>
      </c>
      <c r="D96" s="4" t="s">
        <v>72</v>
      </c>
      <c r="E96" s="5">
        <v>1</v>
      </c>
      <c r="F96" s="5">
        <v>173</v>
      </c>
      <c r="G96" s="5">
        <v>172</v>
      </c>
      <c r="H96" s="6">
        <v>0.9942196531791907</v>
      </c>
      <c r="I96" s="5">
        <v>210</v>
      </c>
      <c r="J96" s="5">
        <v>36330</v>
      </c>
      <c r="K96" s="5">
        <v>36120</v>
      </c>
    </row>
    <row x14ac:dyDescent="0.25" r="97" customHeight="1" ht="18.75">
      <c r="A97" s="7" t="s">
        <v>11</v>
      </c>
      <c r="B97" s="7" t="s">
        <v>44</v>
      </c>
      <c r="C97" s="7" t="s">
        <v>35</v>
      </c>
      <c r="D97" s="7" t="s">
        <v>74</v>
      </c>
      <c r="E97" s="8">
        <v>1</v>
      </c>
      <c r="F97" s="8">
        <v>144</v>
      </c>
      <c r="G97" s="8">
        <v>143</v>
      </c>
      <c r="H97" s="9">
        <v>0.9930555555555556</v>
      </c>
      <c r="I97" s="8">
        <v>150</v>
      </c>
      <c r="J97" s="8">
        <v>21600</v>
      </c>
      <c r="K97" s="8">
        <v>21450</v>
      </c>
    </row>
    <row x14ac:dyDescent="0.25" r="98" customHeight="1" ht="18.75">
      <c r="A98" s="4" t="s">
        <v>12</v>
      </c>
      <c r="B98" s="4" t="s">
        <v>45</v>
      </c>
      <c r="C98" s="4" t="s">
        <v>28</v>
      </c>
      <c r="D98" s="4" t="s">
        <v>80</v>
      </c>
      <c r="E98" s="5">
        <v>1</v>
      </c>
      <c r="F98" s="5">
        <v>305</v>
      </c>
      <c r="G98" s="5">
        <v>304</v>
      </c>
      <c r="H98" s="6">
        <v>0.9967213114754099</v>
      </c>
      <c r="I98" s="5">
        <v>275</v>
      </c>
      <c r="J98" s="5">
        <v>83875</v>
      </c>
      <c r="K98" s="5">
        <v>83600</v>
      </c>
    </row>
    <row x14ac:dyDescent="0.25" r="99" customHeight="1" ht="18.75">
      <c r="A99" s="7" t="s">
        <v>12</v>
      </c>
      <c r="B99" s="7" t="s">
        <v>45</v>
      </c>
      <c r="C99" s="7" t="s">
        <v>28</v>
      </c>
      <c r="D99" s="7" t="s">
        <v>81</v>
      </c>
      <c r="E99" s="8">
        <v>1</v>
      </c>
      <c r="F99" s="8">
        <v>374</v>
      </c>
      <c r="G99" s="8">
        <v>373</v>
      </c>
      <c r="H99" s="9">
        <v>0.9973262032085561</v>
      </c>
      <c r="I99" s="8">
        <v>275</v>
      </c>
      <c r="J99" s="8">
        <v>102850</v>
      </c>
      <c r="K99" s="8">
        <v>102575</v>
      </c>
    </row>
    <row x14ac:dyDescent="0.25" r="100" customHeight="1" ht="18.75">
      <c r="A100" s="4" t="s">
        <v>12</v>
      </c>
      <c r="B100" s="4" t="s">
        <v>45</v>
      </c>
      <c r="C100" s="4" t="s">
        <v>28</v>
      </c>
      <c r="D100" s="4" t="s">
        <v>82</v>
      </c>
      <c r="E100" s="5">
        <v>1</v>
      </c>
      <c r="F100" s="5">
        <v>168</v>
      </c>
      <c r="G100" s="5">
        <v>167</v>
      </c>
      <c r="H100" s="6">
        <v>0.9940476190476191</v>
      </c>
      <c r="I100" s="5">
        <v>210</v>
      </c>
      <c r="J100" s="5">
        <v>35280</v>
      </c>
      <c r="K100" s="5">
        <v>35070</v>
      </c>
    </row>
    <row x14ac:dyDescent="0.25" r="101" customHeight="1" ht="18.75">
      <c r="A101" s="7" t="s">
        <v>12</v>
      </c>
      <c r="B101" s="7" t="s">
        <v>45</v>
      </c>
      <c r="C101" s="7" t="s">
        <v>28</v>
      </c>
      <c r="D101" s="7" t="s">
        <v>83</v>
      </c>
      <c r="E101" s="8">
        <v>21</v>
      </c>
      <c r="F101" s="8">
        <v>208</v>
      </c>
      <c r="G101" s="8">
        <v>187</v>
      </c>
      <c r="H101" s="9">
        <v>0.8990384615384616</v>
      </c>
      <c r="I101" s="8">
        <v>150</v>
      </c>
      <c r="J101" s="8">
        <v>31200</v>
      </c>
      <c r="K101" s="8">
        <v>28050</v>
      </c>
    </row>
    <row x14ac:dyDescent="0.25" r="102" customHeight="1" ht="18.75">
      <c r="A102" s="4" t="s">
        <v>12</v>
      </c>
      <c r="B102" s="4" t="s">
        <v>45</v>
      </c>
      <c r="C102" s="4" t="s">
        <v>29</v>
      </c>
      <c r="D102" s="4" t="s">
        <v>80</v>
      </c>
      <c r="E102" s="5">
        <v>0</v>
      </c>
      <c r="F102" s="5">
        <v>305</v>
      </c>
      <c r="G102" s="5">
        <v>305</v>
      </c>
      <c r="H102" s="6">
        <v>1</v>
      </c>
      <c r="I102" s="5">
        <v>275</v>
      </c>
      <c r="J102" s="5">
        <v>83875</v>
      </c>
      <c r="K102" s="5">
        <v>83875</v>
      </c>
    </row>
    <row x14ac:dyDescent="0.25" r="103" customHeight="1" ht="18.75">
      <c r="A103" s="7" t="s">
        <v>12</v>
      </c>
      <c r="B103" s="7" t="s">
        <v>45</v>
      </c>
      <c r="C103" s="7" t="s">
        <v>29</v>
      </c>
      <c r="D103" s="7" t="s">
        <v>81</v>
      </c>
      <c r="E103" s="8">
        <v>0</v>
      </c>
      <c r="F103" s="8">
        <v>374</v>
      </c>
      <c r="G103" s="8">
        <v>374</v>
      </c>
      <c r="H103" s="9">
        <v>1</v>
      </c>
      <c r="I103" s="8">
        <v>275</v>
      </c>
      <c r="J103" s="8">
        <v>102850</v>
      </c>
      <c r="K103" s="8">
        <v>102850</v>
      </c>
    </row>
    <row x14ac:dyDescent="0.25" r="104" customHeight="1" ht="18.75">
      <c r="A104" s="4" t="s">
        <v>12</v>
      </c>
      <c r="B104" s="4" t="s">
        <v>45</v>
      </c>
      <c r="C104" s="4" t="s">
        <v>29</v>
      </c>
      <c r="D104" s="4" t="s">
        <v>82</v>
      </c>
      <c r="E104" s="5">
        <v>0</v>
      </c>
      <c r="F104" s="5">
        <v>168</v>
      </c>
      <c r="G104" s="5">
        <v>168</v>
      </c>
      <c r="H104" s="6">
        <v>1</v>
      </c>
      <c r="I104" s="5">
        <v>210</v>
      </c>
      <c r="J104" s="5">
        <v>35280</v>
      </c>
      <c r="K104" s="5">
        <v>35280</v>
      </c>
    </row>
    <row x14ac:dyDescent="0.25" r="105" customHeight="1" ht="18.75">
      <c r="A105" s="7" t="s">
        <v>12</v>
      </c>
      <c r="B105" s="7" t="s">
        <v>45</v>
      </c>
      <c r="C105" s="7" t="s">
        <v>29</v>
      </c>
      <c r="D105" s="7" t="s">
        <v>83</v>
      </c>
      <c r="E105" s="8">
        <v>0</v>
      </c>
      <c r="F105" s="8">
        <v>208</v>
      </c>
      <c r="G105" s="8">
        <v>208</v>
      </c>
      <c r="H105" s="9">
        <v>1</v>
      </c>
      <c r="I105" s="8">
        <v>150</v>
      </c>
      <c r="J105" s="8">
        <v>31200</v>
      </c>
      <c r="K105" s="8">
        <v>31200</v>
      </c>
    </row>
    <row x14ac:dyDescent="0.25" r="106" customHeight="1" ht="18.75">
      <c r="A106" s="4" t="s">
        <v>12</v>
      </c>
      <c r="B106" s="4" t="s">
        <v>45</v>
      </c>
      <c r="C106" s="4" t="s">
        <v>25</v>
      </c>
      <c r="D106" s="4" t="s">
        <v>80</v>
      </c>
      <c r="E106" s="5">
        <v>0</v>
      </c>
      <c r="F106" s="5">
        <v>305</v>
      </c>
      <c r="G106" s="5">
        <v>305</v>
      </c>
      <c r="H106" s="6">
        <v>1</v>
      </c>
      <c r="I106" s="5">
        <v>275</v>
      </c>
      <c r="J106" s="5">
        <v>83875</v>
      </c>
      <c r="K106" s="5">
        <v>83875</v>
      </c>
    </row>
    <row x14ac:dyDescent="0.25" r="107" customHeight="1" ht="18.75">
      <c r="A107" s="7" t="s">
        <v>12</v>
      </c>
      <c r="B107" s="7" t="s">
        <v>45</v>
      </c>
      <c r="C107" s="7" t="s">
        <v>25</v>
      </c>
      <c r="D107" s="7" t="s">
        <v>81</v>
      </c>
      <c r="E107" s="8">
        <v>37</v>
      </c>
      <c r="F107" s="8">
        <v>374</v>
      </c>
      <c r="G107" s="8">
        <v>337</v>
      </c>
      <c r="H107" s="9">
        <v>0.9010695187165776</v>
      </c>
      <c r="I107" s="8">
        <v>275</v>
      </c>
      <c r="J107" s="8">
        <v>102850</v>
      </c>
      <c r="K107" s="8">
        <v>92675</v>
      </c>
    </row>
    <row x14ac:dyDescent="0.25" r="108" customHeight="1" ht="18.75">
      <c r="A108" s="4" t="s">
        <v>12</v>
      </c>
      <c r="B108" s="4" t="s">
        <v>45</v>
      </c>
      <c r="C108" s="4" t="s">
        <v>25</v>
      </c>
      <c r="D108" s="4" t="s">
        <v>82</v>
      </c>
      <c r="E108" s="5">
        <v>84</v>
      </c>
      <c r="F108" s="5">
        <v>168</v>
      </c>
      <c r="G108" s="5">
        <v>84</v>
      </c>
      <c r="H108" s="6">
        <v>0.5</v>
      </c>
      <c r="I108" s="5">
        <v>210</v>
      </c>
      <c r="J108" s="5">
        <v>35280</v>
      </c>
      <c r="K108" s="5">
        <v>17640</v>
      </c>
    </row>
    <row x14ac:dyDescent="0.25" r="109" customHeight="1" ht="18.75">
      <c r="A109" s="7" t="s">
        <v>12</v>
      </c>
      <c r="B109" s="7" t="s">
        <v>45</v>
      </c>
      <c r="C109" s="7" t="s">
        <v>25</v>
      </c>
      <c r="D109" s="7" t="s">
        <v>83</v>
      </c>
      <c r="E109" s="8">
        <v>50</v>
      </c>
      <c r="F109" s="8">
        <v>208</v>
      </c>
      <c r="G109" s="8">
        <v>158</v>
      </c>
      <c r="H109" s="9">
        <v>0.7596153846153846</v>
      </c>
      <c r="I109" s="8">
        <v>150</v>
      </c>
      <c r="J109" s="8">
        <v>31200</v>
      </c>
      <c r="K109" s="8">
        <v>23700</v>
      </c>
    </row>
    <row x14ac:dyDescent="0.25" r="110" customHeight="1" ht="18.75">
      <c r="A110" s="4" t="s">
        <v>12</v>
      </c>
      <c r="B110" s="4" t="s">
        <v>45</v>
      </c>
      <c r="C110" s="4" t="s">
        <v>46</v>
      </c>
      <c r="D110" s="4" t="s">
        <v>80</v>
      </c>
      <c r="E110" s="5">
        <v>0</v>
      </c>
      <c r="F110" s="5">
        <v>305</v>
      </c>
      <c r="G110" s="5">
        <v>305</v>
      </c>
      <c r="H110" s="6">
        <v>1</v>
      </c>
      <c r="I110" s="5">
        <v>275</v>
      </c>
      <c r="J110" s="5">
        <v>83875</v>
      </c>
      <c r="K110" s="5">
        <v>83875</v>
      </c>
    </row>
    <row x14ac:dyDescent="0.25" r="111" customHeight="1" ht="18.75">
      <c r="A111" s="7" t="s">
        <v>12</v>
      </c>
      <c r="B111" s="7" t="s">
        <v>45</v>
      </c>
      <c r="C111" s="7" t="s">
        <v>46</v>
      </c>
      <c r="D111" s="7" t="s">
        <v>81</v>
      </c>
      <c r="E111" s="8">
        <v>59</v>
      </c>
      <c r="F111" s="8">
        <v>374</v>
      </c>
      <c r="G111" s="8">
        <v>315</v>
      </c>
      <c r="H111" s="9">
        <v>0.8422459893048129</v>
      </c>
      <c r="I111" s="8">
        <v>275</v>
      </c>
      <c r="J111" s="8">
        <v>102850</v>
      </c>
      <c r="K111" s="8">
        <v>86625</v>
      </c>
    </row>
    <row x14ac:dyDescent="0.25" r="112" customHeight="1" ht="18.75">
      <c r="A112" s="4" t="s">
        <v>12</v>
      </c>
      <c r="B112" s="4" t="s">
        <v>45</v>
      </c>
      <c r="C112" s="4" t="s">
        <v>46</v>
      </c>
      <c r="D112" s="4" t="s">
        <v>82</v>
      </c>
      <c r="E112" s="5">
        <v>100</v>
      </c>
      <c r="F112" s="5">
        <v>168</v>
      </c>
      <c r="G112" s="5">
        <v>68</v>
      </c>
      <c r="H112" s="6">
        <v>0.4047619047619048</v>
      </c>
      <c r="I112" s="5">
        <v>210</v>
      </c>
      <c r="J112" s="5">
        <v>35280</v>
      </c>
      <c r="K112" s="5">
        <v>14280</v>
      </c>
    </row>
    <row x14ac:dyDescent="0.25" r="113" customHeight="1" ht="18.75">
      <c r="A113" s="7" t="s">
        <v>12</v>
      </c>
      <c r="B113" s="7" t="s">
        <v>45</v>
      </c>
      <c r="C113" s="7" t="s">
        <v>46</v>
      </c>
      <c r="D113" s="7" t="s">
        <v>83</v>
      </c>
      <c r="E113" s="8">
        <v>54</v>
      </c>
      <c r="F113" s="8">
        <v>208</v>
      </c>
      <c r="G113" s="8">
        <v>154</v>
      </c>
      <c r="H113" s="9">
        <v>0.7403846153846154</v>
      </c>
      <c r="I113" s="8">
        <v>150</v>
      </c>
      <c r="J113" s="8">
        <v>31200</v>
      </c>
      <c r="K113" s="8">
        <v>23100</v>
      </c>
    </row>
    <row x14ac:dyDescent="0.25" r="114" customHeight="1" ht="18.75">
      <c r="A114" s="4" t="s">
        <v>12</v>
      </c>
      <c r="B114" s="4" t="s">
        <v>45</v>
      </c>
      <c r="C114" s="4" t="s">
        <v>47</v>
      </c>
      <c r="D114" s="4" t="s">
        <v>80</v>
      </c>
      <c r="E114" s="5">
        <v>1</v>
      </c>
      <c r="F114" s="5">
        <v>305</v>
      </c>
      <c r="G114" s="5">
        <v>304</v>
      </c>
      <c r="H114" s="6">
        <v>0.9967213114754099</v>
      </c>
      <c r="I114" s="5">
        <v>275</v>
      </c>
      <c r="J114" s="5">
        <v>83875</v>
      </c>
      <c r="K114" s="5">
        <v>83600</v>
      </c>
    </row>
    <row x14ac:dyDescent="0.25" r="115" customHeight="1" ht="18.75">
      <c r="A115" s="7" t="s">
        <v>12</v>
      </c>
      <c r="B115" s="7" t="s">
        <v>45</v>
      </c>
      <c r="C115" s="7" t="s">
        <v>47</v>
      </c>
      <c r="D115" s="7" t="s">
        <v>81</v>
      </c>
      <c r="E115" s="8">
        <v>20</v>
      </c>
      <c r="F115" s="8">
        <v>374</v>
      </c>
      <c r="G115" s="8">
        <v>354</v>
      </c>
      <c r="H115" s="9">
        <v>0.946524064171123</v>
      </c>
      <c r="I115" s="8">
        <v>275</v>
      </c>
      <c r="J115" s="8">
        <v>102850</v>
      </c>
      <c r="K115" s="8">
        <v>97350</v>
      </c>
    </row>
    <row x14ac:dyDescent="0.25" r="116" customHeight="1" ht="18.75">
      <c r="A116" s="4" t="s">
        <v>12</v>
      </c>
      <c r="B116" s="4" t="s">
        <v>45</v>
      </c>
      <c r="C116" s="4" t="s">
        <v>47</v>
      </c>
      <c r="D116" s="4" t="s">
        <v>82</v>
      </c>
      <c r="E116" s="5">
        <v>33</v>
      </c>
      <c r="F116" s="5">
        <v>168</v>
      </c>
      <c r="G116" s="5">
        <v>135</v>
      </c>
      <c r="H116" s="6">
        <v>0.8035714285714286</v>
      </c>
      <c r="I116" s="5">
        <v>210</v>
      </c>
      <c r="J116" s="5">
        <v>35280</v>
      </c>
      <c r="K116" s="5">
        <v>28350</v>
      </c>
    </row>
    <row x14ac:dyDescent="0.25" r="117" customHeight="1" ht="18.75">
      <c r="A117" s="7" t="s">
        <v>12</v>
      </c>
      <c r="B117" s="7" t="s">
        <v>45</v>
      </c>
      <c r="C117" s="7" t="s">
        <v>47</v>
      </c>
      <c r="D117" s="7" t="s">
        <v>83</v>
      </c>
      <c r="E117" s="8">
        <v>45</v>
      </c>
      <c r="F117" s="8">
        <v>208</v>
      </c>
      <c r="G117" s="8">
        <v>163</v>
      </c>
      <c r="H117" s="9">
        <v>0.7836538461538461</v>
      </c>
      <c r="I117" s="8">
        <v>150</v>
      </c>
      <c r="J117" s="8">
        <v>31200</v>
      </c>
      <c r="K117" s="8">
        <v>24450</v>
      </c>
    </row>
    <row x14ac:dyDescent="0.25" r="118" customHeight="1" ht="18.75">
      <c r="A118" s="4" t="s">
        <v>13</v>
      </c>
      <c r="B118" s="4" t="s">
        <v>48</v>
      </c>
      <c r="C118" s="4" t="s">
        <v>30</v>
      </c>
      <c r="D118" s="4" t="s">
        <v>84</v>
      </c>
      <c r="E118" s="5">
        <v>335</v>
      </c>
      <c r="F118" s="5">
        <v>384</v>
      </c>
      <c r="G118" s="5">
        <v>49</v>
      </c>
      <c r="H118" s="6">
        <v>0.1276041666666667</v>
      </c>
      <c r="I118" s="5">
        <v>275</v>
      </c>
      <c r="J118" s="5">
        <v>105600</v>
      </c>
      <c r="K118" s="5">
        <v>13475</v>
      </c>
    </row>
    <row x14ac:dyDescent="0.25" r="119" customHeight="1" ht="18.75">
      <c r="A119" s="7" t="s">
        <v>13</v>
      </c>
      <c r="B119" s="7" t="s">
        <v>48</v>
      </c>
      <c r="C119" s="7" t="s">
        <v>30</v>
      </c>
      <c r="D119" s="7" t="s">
        <v>85</v>
      </c>
      <c r="E119" s="8">
        <v>99</v>
      </c>
      <c r="F119" s="8">
        <v>120</v>
      </c>
      <c r="G119" s="8">
        <v>21</v>
      </c>
      <c r="H119" s="9">
        <v>0.175</v>
      </c>
      <c r="I119" s="8">
        <v>210</v>
      </c>
      <c r="J119" s="8">
        <v>25200</v>
      </c>
      <c r="K119" s="8">
        <v>4410</v>
      </c>
    </row>
    <row x14ac:dyDescent="0.25" r="120" customHeight="1" ht="18.75">
      <c r="A120" s="4" t="s">
        <v>13</v>
      </c>
      <c r="B120" s="4" t="s">
        <v>48</v>
      </c>
      <c r="C120" s="4" t="s">
        <v>30</v>
      </c>
      <c r="D120" s="4" t="s">
        <v>86</v>
      </c>
      <c r="E120" s="5">
        <v>108</v>
      </c>
      <c r="F120" s="5">
        <v>124</v>
      </c>
      <c r="G120" s="5">
        <v>16</v>
      </c>
      <c r="H120" s="6">
        <v>0.1290322580645161</v>
      </c>
      <c r="I120" s="5">
        <v>150</v>
      </c>
      <c r="J120" s="5">
        <v>18600</v>
      </c>
      <c r="K120" s="5">
        <v>2400</v>
      </c>
    </row>
    <row x14ac:dyDescent="0.25" r="121" customHeight="1" ht="18.75">
      <c r="A121" s="7" t="s">
        <v>13</v>
      </c>
      <c r="B121" s="7" t="s">
        <v>48</v>
      </c>
      <c r="C121" s="7" t="s">
        <v>27</v>
      </c>
      <c r="D121" s="7" t="s">
        <v>84</v>
      </c>
      <c r="E121" s="8">
        <v>0</v>
      </c>
      <c r="F121" s="8">
        <v>384</v>
      </c>
      <c r="G121" s="8">
        <v>384</v>
      </c>
      <c r="H121" s="9">
        <v>1</v>
      </c>
      <c r="I121" s="8">
        <v>275</v>
      </c>
      <c r="J121" s="8">
        <v>105600</v>
      </c>
      <c r="K121" s="8">
        <v>105600</v>
      </c>
    </row>
    <row x14ac:dyDescent="0.25" r="122" customHeight="1" ht="18.75">
      <c r="A122" s="4" t="s">
        <v>13</v>
      </c>
      <c r="B122" s="4" t="s">
        <v>48</v>
      </c>
      <c r="C122" s="4" t="s">
        <v>27</v>
      </c>
      <c r="D122" s="4" t="s">
        <v>85</v>
      </c>
      <c r="E122" s="5">
        <v>0</v>
      </c>
      <c r="F122" s="5">
        <v>120</v>
      </c>
      <c r="G122" s="5">
        <v>120</v>
      </c>
      <c r="H122" s="6">
        <v>1</v>
      </c>
      <c r="I122" s="5">
        <v>210</v>
      </c>
      <c r="J122" s="5">
        <v>25200</v>
      </c>
      <c r="K122" s="5">
        <v>25200</v>
      </c>
    </row>
    <row x14ac:dyDescent="0.25" r="123" customHeight="1" ht="18.75">
      <c r="A123" s="7" t="s">
        <v>13</v>
      </c>
      <c r="B123" s="7" t="s">
        <v>48</v>
      </c>
      <c r="C123" s="7" t="s">
        <v>27</v>
      </c>
      <c r="D123" s="7" t="s">
        <v>86</v>
      </c>
      <c r="E123" s="8">
        <v>21</v>
      </c>
      <c r="F123" s="8">
        <v>124</v>
      </c>
      <c r="G123" s="8">
        <v>103</v>
      </c>
      <c r="H123" s="9">
        <v>0.8306451612903226</v>
      </c>
      <c r="I123" s="8">
        <v>150</v>
      </c>
      <c r="J123" s="8">
        <v>18600</v>
      </c>
      <c r="K123" s="8">
        <v>15450</v>
      </c>
    </row>
    <row x14ac:dyDescent="0.25" r="124" customHeight="1" ht="18.75">
      <c r="A124" s="4" t="s">
        <v>13</v>
      </c>
      <c r="B124" s="4" t="s">
        <v>48</v>
      </c>
      <c r="C124" s="4" t="s">
        <v>46</v>
      </c>
      <c r="D124" s="4" t="s">
        <v>84</v>
      </c>
      <c r="E124" s="5">
        <v>341</v>
      </c>
      <c r="F124" s="5">
        <v>384</v>
      </c>
      <c r="G124" s="5">
        <v>43</v>
      </c>
      <c r="H124" s="6">
        <v>0.1119791666666667</v>
      </c>
      <c r="I124" s="5">
        <v>275</v>
      </c>
      <c r="J124" s="5">
        <v>105600</v>
      </c>
      <c r="K124" s="5">
        <v>11825</v>
      </c>
    </row>
    <row x14ac:dyDescent="0.25" r="125" customHeight="1" ht="18.75">
      <c r="A125" s="7" t="s">
        <v>13</v>
      </c>
      <c r="B125" s="7" t="s">
        <v>48</v>
      </c>
      <c r="C125" s="7" t="s">
        <v>46</v>
      </c>
      <c r="D125" s="7" t="s">
        <v>85</v>
      </c>
      <c r="E125" s="8">
        <v>116</v>
      </c>
      <c r="F125" s="8">
        <v>120</v>
      </c>
      <c r="G125" s="8">
        <v>4</v>
      </c>
      <c r="H125" s="9">
        <v>0.03333333333333333</v>
      </c>
      <c r="I125" s="8">
        <v>210</v>
      </c>
      <c r="J125" s="8">
        <v>25200</v>
      </c>
      <c r="K125" s="8">
        <v>840</v>
      </c>
    </row>
    <row x14ac:dyDescent="0.25" r="126" customHeight="1" ht="18.75">
      <c r="A126" s="4" t="s">
        <v>13</v>
      </c>
      <c r="B126" s="4" t="s">
        <v>48</v>
      </c>
      <c r="C126" s="4" t="s">
        <v>46</v>
      </c>
      <c r="D126" s="4" t="s">
        <v>86</v>
      </c>
      <c r="E126" s="5">
        <v>115</v>
      </c>
      <c r="F126" s="5">
        <v>124</v>
      </c>
      <c r="G126" s="5">
        <v>9</v>
      </c>
      <c r="H126" s="6">
        <v>0.07258064516129033</v>
      </c>
      <c r="I126" s="5">
        <v>150</v>
      </c>
      <c r="J126" s="5">
        <v>18600</v>
      </c>
      <c r="K126" s="5">
        <v>1350</v>
      </c>
    </row>
    <row x14ac:dyDescent="0.25" r="127" customHeight="1" ht="18.75">
      <c r="A127" s="7" t="s">
        <v>13</v>
      </c>
      <c r="B127" s="7" t="s">
        <v>48</v>
      </c>
      <c r="C127" s="7" t="s">
        <v>49</v>
      </c>
      <c r="D127" s="7" t="s">
        <v>84</v>
      </c>
      <c r="E127" s="8">
        <v>320</v>
      </c>
      <c r="F127" s="8">
        <v>384</v>
      </c>
      <c r="G127" s="8">
        <v>64</v>
      </c>
      <c r="H127" s="9">
        <v>0.1666666666666667</v>
      </c>
      <c r="I127" s="8">
        <v>275</v>
      </c>
      <c r="J127" s="8">
        <v>105600</v>
      </c>
      <c r="K127" s="8">
        <v>17600</v>
      </c>
    </row>
    <row x14ac:dyDescent="0.25" r="128" customHeight="1" ht="18.75">
      <c r="A128" s="4" t="s">
        <v>13</v>
      </c>
      <c r="B128" s="4" t="s">
        <v>48</v>
      </c>
      <c r="C128" s="4" t="s">
        <v>49</v>
      </c>
      <c r="D128" s="4" t="s">
        <v>85</v>
      </c>
      <c r="E128" s="5">
        <v>103</v>
      </c>
      <c r="F128" s="5">
        <v>120</v>
      </c>
      <c r="G128" s="5">
        <v>17</v>
      </c>
      <c r="H128" s="6">
        <v>0.1416666666666667</v>
      </c>
      <c r="I128" s="5">
        <v>210</v>
      </c>
      <c r="J128" s="5">
        <v>25200</v>
      </c>
      <c r="K128" s="5">
        <v>3570</v>
      </c>
    </row>
    <row x14ac:dyDescent="0.25" r="129" customHeight="1" ht="18.75">
      <c r="A129" s="7" t="s">
        <v>13</v>
      </c>
      <c r="B129" s="7" t="s">
        <v>48</v>
      </c>
      <c r="C129" s="7" t="s">
        <v>49</v>
      </c>
      <c r="D129" s="7" t="s">
        <v>86</v>
      </c>
      <c r="E129" s="8">
        <v>108</v>
      </c>
      <c r="F129" s="8">
        <v>124</v>
      </c>
      <c r="G129" s="8">
        <v>16</v>
      </c>
      <c r="H129" s="9">
        <v>0.1290322580645161</v>
      </c>
      <c r="I129" s="8">
        <v>150</v>
      </c>
      <c r="J129" s="8">
        <v>18600</v>
      </c>
      <c r="K129" s="8">
        <v>2400</v>
      </c>
    </row>
    <row x14ac:dyDescent="0.25" r="130" customHeight="1" ht="18.75">
      <c r="A130" s="4" t="s">
        <v>13</v>
      </c>
      <c r="B130" s="4" t="s">
        <v>48</v>
      </c>
      <c r="C130" s="4" t="s">
        <v>50</v>
      </c>
      <c r="D130" s="4" t="s">
        <v>84</v>
      </c>
      <c r="E130" s="5">
        <v>131</v>
      </c>
      <c r="F130" s="5">
        <v>384</v>
      </c>
      <c r="G130" s="5">
        <v>253</v>
      </c>
      <c r="H130" s="6">
        <v>0.6588541666666666</v>
      </c>
      <c r="I130" s="5">
        <v>275</v>
      </c>
      <c r="J130" s="5">
        <v>105600</v>
      </c>
      <c r="K130" s="5">
        <v>69575</v>
      </c>
    </row>
    <row x14ac:dyDescent="0.25" r="131" customHeight="1" ht="18.75">
      <c r="A131" s="7" t="s">
        <v>13</v>
      </c>
      <c r="B131" s="7" t="s">
        <v>48</v>
      </c>
      <c r="C131" s="7" t="s">
        <v>50</v>
      </c>
      <c r="D131" s="7" t="s">
        <v>85</v>
      </c>
      <c r="E131" s="8">
        <v>57</v>
      </c>
      <c r="F131" s="8">
        <v>120</v>
      </c>
      <c r="G131" s="8">
        <v>63</v>
      </c>
      <c r="H131" s="9">
        <v>0.525</v>
      </c>
      <c r="I131" s="8">
        <v>210</v>
      </c>
      <c r="J131" s="8">
        <v>25200</v>
      </c>
      <c r="K131" s="8">
        <v>13230</v>
      </c>
    </row>
    <row x14ac:dyDescent="0.25" r="132" customHeight="1" ht="18.75">
      <c r="A132" s="4" t="s">
        <v>13</v>
      </c>
      <c r="B132" s="4" t="s">
        <v>48</v>
      </c>
      <c r="C132" s="4" t="s">
        <v>50</v>
      </c>
      <c r="D132" s="4" t="s">
        <v>86</v>
      </c>
      <c r="E132" s="5">
        <v>76</v>
      </c>
      <c r="F132" s="5">
        <v>124</v>
      </c>
      <c r="G132" s="5">
        <v>48</v>
      </c>
      <c r="H132" s="6">
        <v>0.3870967741935484</v>
      </c>
      <c r="I132" s="5">
        <v>150</v>
      </c>
      <c r="J132" s="5">
        <v>18600</v>
      </c>
      <c r="K132" s="5">
        <v>7200</v>
      </c>
    </row>
    <row x14ac:dyDescent="0.25" r="133" customHeight="1" ht="18.75">
      <c r="A133" s="7" t="s">
        <v>13</v>
      </c>
      <c r="B133" s="7" t="s">
        <v>48</v>
      </c>
      <c r="C133" s="7" t="s">
        <v>28</v>
      </c>
      <c r="D133" s="7" t="s">
        <v>84</v>
      </c>
      <c r="E133" s="8">
        <v>286</v>
      </c>
      <c r="F133" s="8">
        <v>384</v>
      </c>
      <c r="G133" s="8">
        <v>98</v>
      </c>
      <c r="H133" s="9">
        <v>0.2552083333333333</v>
      </c>
      <c r="I133" s="8">
        <v>275</v>
      </c>
      <c r="J133" s="8">
        <v>105600</v>
      </c>
      <c r="K133" s="8">
        <v>26950</v>
      </c>
    </row>
    <row x14ac:dyDescent="0.25" r="134" customHeight="1" ht="18.75">
      <c r="A134" s="4" t="s">
        <v>13</v>
      </c>
      <c r="B134" s="4" t="s">
        <v>48</v>
      </c>
      <c r="C134" s="4" t="s">
        <v>28</v>
      </c>
      <c r="D134" s="4" t="s">
        <v>85</v>
      </c>
      <c r="E134" s="5">
        <v>84</v>
      </c>
      <c r="F134" s="5">
        <v>120</v>
      </c>
      <c r="G134" s="5">
        <v>36</v>
      </c>
      <c r="H134" s="6">
        <v>0.3</v>
      </c>
      <c r="I134" s="5">
        <v>210</v>
      </c>
      <c r="J134" s="5">
        <v>25200</v>
      </c>
      <c r="K134" s="5">
        <v>7560</v>
      </c>
    </row>
    <row x14ac:dyDescent="0.25" r="135" customHeight="1" ht="18.75">
      <c r="A135" s="7" t="s">
        <v>13</v>
      </c>
      <c r="B135" s="7" t="s">
        <v>48</v>
      </c>
      <c r="C135" s="7" t="s">
        <v>28</v>
      </c>
      <c r="D135" s="7" t="s">
        <v>86</v>
      </c>
      <c r="E135" s="8">
        <v>111</v>
      </c>
      <c r="F135" s="8">
        <v>124</v>
      </c>
      <c r="G135" s="8">
        <v>13</v>
      </c>
      <c r="H135" s="9">
        <v>0.1048387096774194</v>
      </c>
      <c r="I135" s="8">
        <v>150</v>
      </c>
      <c r="J135" s="8">
        <v>18600</v>
      </c>
      <c r="K135" s="8">
        <v>1950</v>
      </c>
    </row>
    <row x14ac:dyDescent="0.25" r="136" customHeight="1" ht="18.75">
      <c r="A136" s="4" t="s">
        <v>14</v>
      </c>
      <c r="B136" s="4" t="s">
        <v>51</v>
      </c>
      <c r="C136" s="4" t="s">
        <v>36</v>
      </c>
      <c r="D136" s="4" t="s">
        <v>87</v>
      </c>
      <c r="E136" s="5">
        <v>0</v>
      </c>
      <c r="F136" s="5">
        <v>205</v>
      </c>
      <c r="G136" s="5">
        <v>205</v>
      </c>
      <c r="H136" s="6">
        <v>1</v>
      </c>
      <c r="I136" s="5">
        <v>350</v>
      </c>
      <c r="J136" s="5">
        <v>71750</v>
      </c>
      <c r="K136" s="5">
        <v>71750</v>
      </c>
    </row>
    <row x14ac:dyDescent="0.25" r="137" customHeight="1" ht="18.75">
      <c r="A137" s="7" t="s">
        <v>14</v>
      </c>
      <c r="B137" s="7" t="s">
        <v>51</v>
      </c>
      <c r="C137" s="7" t="s">
        <v>36</v>
      </c>
      <c r="D137" s="7" t="s">
        <v>88</v>
      </c>
      <c r="E137" s="8">
        <v>250</v>
      </c>
      <c r="F137" s="8">
        <v>24</v>
      </c>
      <c r="G137" s="8">
        <v>-226</v>
      </c>
      <c r="H137" s="9">
        <v>-9.416666666666666</v>
      </c>
      <c r="I137" s="8">
        <v>275</v>
      </c>
      <c r="J137" s="8">
        <v>6600</v>
      </c>
      <c r="K137" s="8">
        <v>-62150</v>
      </c>
    </row>
    <row x14ac:dyDescent="0.25" r="138" customHeight="1" ht="18.75">
      <c r="A138" s="4" t="s">
        <v>14</v>
      </c>
      <c r="B138" s="4" t="s">
        <v>51</v>
      </c>
      <c r="C138" s="4" t="s">
        <v>36</v>
      </c>
      <c r="D138" s="4" t="s">
        <v>71</v>
      </c>
      <c r="E138" s="5">
        <v>195</v>
      </c>
      <c r="F138" s="5">
        <v>212</v>
      </c>
      <c r="G138" s="5">
        <v>17</v>
      </c>
      <c r="H138" s="6">
        <v>0.08018867924528301</v>
      </c>
      <c r="I138" s="5">
        <v>210</v>
      </c>
      <c r="J138" s="5">
        <v>44520</v>
      </c>
      <c r="K138" s="5">
        <v>3570</v>
      </c>
    </row>
    <row x14ac:dyDescent="0.25" r="139" customHeight="1" ht="18.75">
      <c r="A139" s="7" t="s">
        <v>14</v>
      </c>
      <c r="B139" s="7" t="s">
        <v>51</v>
      </c>
      <c r="C139" s="7" t="s">
        <v>36</v>
      </c>
      <c r="D139" s="7" t="s">
        <v>72</v>
      </c>
      <c r="E139" s="8">
        <v>103</v>
      </c>
      <c r="F139" s="8">
        <v>101</v>
      </c>
      <c r="G139" s="8">
        <v>-2</v>
      </c>
      <c r="H139" s="9">
        <v>-0.0198019801980198</v>
      </c>
      <c r="I139" s="8">
        <v>150</v>
      </c>
      <c r="J139" s="8">
        <v>15150</v>
      </c>
      <c r="K139" s="8">
        <v>-300</v>
      </c>
    </row>
    <row x14ac:dyDescent="0.25" r="140" customHeight="1" ht="18.75">
      <c r="A140" s="4" t="s">
        <v>14</v>
      </c>
      <c r="B140" s="4" t="s">
        <v>51</v>
      </c>
      <c r="C140" s="4" t="s">
        <v>42</v>
      </c>
      <c r="D140" s="4" t="s">
        <v>87</v>
      </c>
      <c r="E140" s="5">
        <v>0</v>
      </c>
      <c r="F140" s="5">
        <v>205</v>
      </c>
      <c r="G140" s="5">
        <v>205</v>
      </c>
      <c r="H140" s="6">
        <v>1</v>
      </c>
      <c r="I140" s="5">
        <v>350</v>
      </c>
      <c r="J140" s="5">
        <v>71750</v>
      </c>
      <c r="K140" s="5">
        <v>71750</v>
      </c>
    </row>
    <row x14ac:dyDescent="0.25" r="141" customHeight="1" ht="18.75">
      <c r="A141" s="7" t="s">
        <v>14</v>
      </c>
      <c r="B141" s="7" t="s">
        <v>51</v>
      </c>
      <c r="C141" s="7" t="s">
        <v>42</v>
      </c>
      <c r="D141" s="7" t="s">
        <v>88</v>
      </c>
      <c r="E141" s="8">
        <v>93</v>
      </c>
      <c r="F141" s="8">
        <v>24</v>
      </c>
      <c r="G141" s="8">
        <v>-69</v>
      </c>
      <c r="H141" s="9">
        <v>-2.875</v>
      </c>
      <c r="I141" s="8">
        <v>275</v>
      </c>
      <c r="J141" s="8">
        <v>6600</v>
      </c>
      <c r="K141" s="8">
        <v>-18975</v>
      </c>
    </row>
    <row x14ac:dyDescent="0.25" r="142" customHeight="1" ht="18.75">
      <c r="A142" s="4" t="s">
        <v>14</v>
      </c>
      <c r="B142" s="4" t="s">
        <v>51</v>
      </c>
      <c r="C142" s="4" t="s">
        <v>42</v>
      </c>
      <c r="D142" s="4" t="s">
        <v>71</v>
      </c>
      <c r="E142" s="5">
        <v>139</v>
      </c>
      <c r="F142" s="5">
        <v>212</v>
      </c>
      <c r="G142" s="5">
        <v>73</v>
      </c>
      <c r="H142" s="6">
        <v>0.3443396226415094</v>
      </c>
      <c r="I142" s="5">
        <v>210</v>
      </c>
      <c r="J142" s="5">
        <v>44520</v>
      </c>
      <c r="K142" s="5">
        <v>15330</v>
      </c>
    </row>
    <row x14ac:dyDescent="0.25" r="143" customHeight="1" ht="18.75">
      <c r="A143" s="7" t="s">
        <v>14</v>
      </c>
      <c r="B143" s="7" t="s">
        <v>51</v>
      </c>
      <c r="C143" s="7" t="s">
        <v>42</v>
      </c>
      <c r="D143" s="7" t="s">
        <v>72</v>
      </c>
      <c r="E143" s="8">
        <v>82</v>
      </c>
      <c r="F143" s="8">
        <v>101</v>
      </c>
      <c r="G143" s="8">
        <v>19</v>
      </c>
      <c r="H143" s="9">
        <v>0.1881188118811881</v>
      </c>
      <c r="I143" s="8">
        <v>150</v>
      </c>
      <c r="J143" s="8">
        <v>15150</v>
      </c>
      <c r="K143" s="8">
        <v>2850</v>
      </c>
    </row>
    <row x14ac:dyDescent="0.25" r="144" customHeight="1" ht="18.75">
      <c r="A144" s="4" t="s">
        <v>14</v>
      </c>
      <c r="B144" s="4" t="s">
        <v>51</v>
      </c>
      <c r="C144" s="4" t="s">
        <v>39</v>
      </c>
      <c r="D144" s="4" t="s">
        <v>87</v>
      </c>
      <c r="E144" s="5">
        <v>0</v>
      </c>
      <c r="F144" s="5">
        <v>205</v>
      </c>
      <c r="G144" s="5">
        <v>205</v>
      </c>
      <c r="H144" s="6">
        <v>1</v>
      </c>
      <c r="I144" s="5">
        <v>350</v>
      </c>
      <c r="J144" s="5">
        <v>71750</v>
      </c>
      <c r="K144" s="5">
        <v>71750</v>
      </c>
    </row>
    <row x14ac:dyDescent="0.25" r="145" customHeight="1" ht="18.75">
      <c r="A145" s="7" t="s">
        <v>14</v>
      </c>
      <c r="B145" s="7" t="s">
        <v>51</v>
      </c>
      <c r="C145" s="7" t="s">
        <v>39</v>
      </c>
      <c r="D145" s="7" t="s">
        <v>88</v>
      </c>
      <c r="E145" s="8">
        <v>171</v>
      </c>
      <c r="F145" s="8">
        <v>24</v>
      </c>
      <c r="G145" s="8">
        <v>-147</v>
      </c>
      <c r="H145" s="9">
        <v>-6.125</v>
      </c>
      <c r="I145" s="8">
        <v>275</v>
      </c>
      <c r="J145" s="8">
        <v>6600</v>
      </c>
      <c r="K145" s="8">
        <v>-40425</v>
      </c>
    </row>
    <row x14ac:dyDescent="0.25" r="146" customHeight="1" ht="18.75">
      <c r="A146" s="4" t="s">
        <v>14</v>
      </c>
      <c r="B146" s="4" t="s">
        <v>51</v>
      </c>
      <c r="C146" s="4" t="s">
        <v>39</v>
      </c>
      <c r="D146" s="4" t="s">
        <v>71</v>
      </c>
      <c r="E146" s="5">
        <v>170</v>
      </c>
      <c r="F146" s="5">
        <v>212</v>
      </c>
      <c r="G146" s="5">
        <v>42</v>
      </c>
      <c r="H146" s="6">
        <v>0.1981132075471698</v>
      </c>
      <c r="I146" s="5">
        <v>210</v>
      </c>
      <c r="J146" s="5">
        <v>44520</v>
      </c>
      <c r="K146" s="5">
        <v>8820</v>
      </c>
    </row>
    <row x14ac:dyDescent="0.25" r="147" customHeight="1" ht="18.75">
      <c r="A147" s="7" t="s">
        <v>14</v>
      </c>
      <c r="B147" s="7" t="s">
        <v>51</v>
      </c>
      <c r="C147" s="7" t="s">
        <v>39</v>
      </c>
      <c r="D147" s="7" t="s">
        <v>72</v>
      </c>
      <c r="E147" s="8">
        <v>88</v>
      </c>
      <c r="F147" s="8">
        <v>101</v>
      </c>
      <c r="G147" s="8">
        <v>13</v>
      </c>
      <c r="H147" s="9">
        <v>0.1287128712871287</v>
      </c>
      <c r="I147" s="8">
        <v>150</v>
      </c>
      <c r="J147" s="8">
        <v>15150</v>
      </c>
      <c r="K147" s="8">
        <v>1950</v>
      </c>
    </row>
    <row x14ac:dyDescent="0.25" r="148" customHeight="1" ht="18.75">
      <c r="A148" s="4" t="s">
        <v>14</v>
      </c>
      <c r="B148" s="4" t="s">
        <v>51</v>
      </c>
      <c r="C148" s="4" t="s">
        <v>40</v>
      </c>
      <c r="D148" s="4" t="s">
        <v>87</v>
      </c>
      <c r="E148" s="5">
        <v>0</v>
      </c>
      <c r="F148" s="5">
        <v>205</v>
      </c>
      <c r="G148" s="5">
        <v>205</v>
      </c>
      <c r="H148" s="6">
        <v>1</v>
      </c>
      <c r="I148" s="5">
        <v>350</v>
      </c>
      <c r="J148" s="5">
        <v>71750</v>
      </c>
      <c r="K148" s="5">
        <v>71750</v>
      </c>
    </row>
    <row x14ac:dyDescent="0.25" r="149" customHeight="1" ht="18.75">
      <c r="A149" s="7" t="s">
        <v>14</v>
      </c>
      <c r="B149" s="7" t="s">
        <v>51</v>
      </c>
      <c r="C149" s="7" t="s">
        <v>40</v>
      </c>
      <c r="D149" s="7" t="s">
        <v>88</v>
      </c>
      <c r="E149" s="8">
        <v>176</v>
      </c>
      <c r="F149" s="8">
        <v>24</v>
      </c>
      <c r="G149" s="8">
        <v>-152</v>
      </c>
      <c r="H149" s="9">
        <v>-6.333333333333333</v>
      </c>
      <c r="I149" s="8">
        <v>275</v>
      </c>
      <c r="J149" s="8">
        <v>6600</v>
      </c>
      <c r="K149" s="8">
        <v>-41800</v>
      </c>
    </row>
    <row x14ac:dyDescent="0.25" r="150" customHeight="1" ht="18.75">
      <c r="A150" s="4" t="s">
        <v>14</v>
      </c>
      <c r="B150" s="4" t="s">
        <v>51</v>
      </c>
      <c r="C150" s="4" t="s">
        <v>40</v>
      </c>
      <c r="D150" s="4" t="s">
        <v>71</v>
      </c>
      <c r="E150" s="5">
        <v>191</v>
      </c>
      <c r="F150" s="5">
        <v>212</v>
      </c>
      <c r="G150" s="5">
        <v>21</v>
      </c>
      <c r="H150" s="6">
        <v>0.09905660377358491</v>
      </c>
      <c r="I150" s="5">
        <v>210</v>
      </c>
      <c r="J150" s="5">
        <v>44520</v>
      </c>
      <c r="K150" s="5">
        <v>4410</v>
      </c>
    </row>
    <row x14ac:dyDescent="0.25" r="151" customHeight="1" ht="18.75">
      <c r="A151" s="7" t="s">
        <v>14</v>
      </c>
      <c r="B151" s="7" t="s">
        <v>51</v>
      </c>
      <c r="C151" s="7" t="s">
        <v>40</v>
      </c>
      <c r="D151" s="7" t="s">
        <v>72</v>
      </c>
      <c r="E151" s="8">
        <v>102</v>
      </c>
      <c r="F151" s="8">
        <v>101</v>
      </c>
      <c r="G151" s="8">
        <v>-1</v>
      </c>
      <c r="H151" s="9">
        <v>-0.009900990099009901</v>
      </c>
      <c r="I151" s="8">
        <v>150</v>
      </c>
      <c r="J151" s="8">
        <v>15150</v>
      </c>
      <c r="K151" s="8">
        <v>-150</v>
      </c>
    </row>
    <row x14ac:dyDescent="0.25" r="152" customHeight="1" ht="18.75">
      <c r="A152" s="4" t="s">
        <v>14</v>
      </c>
      <c r="B152" s="4" t="s">
        <v>51</v>
      </c>
      <c r="C152" s="4" t="s">
        <v>41</v>
      </c>
      <c r="D152" s="4" t="s">
        <v>87</v>
      </c>
      <c r="E152" s="5">
        <v>0</v>
      </c>
      <c r="F152" s="5">
        <v>205</v>
      </c>
      <c r="G152" s="5">
        <v>205</v>
      </c>
      <c r="H152" s="6">
        <v>1</v>
      </c>
      <c r="I152" s="5">
        <v>350</v>
      </c>
      <c r="J152" s="5">
        <v>71750</v>
      </c>
      <c r="K152" s="5">
        <v>71750</v>
      </c>
    </row>
    <row x14ac:dyDescent="0.25" r="153" customHeight="1" ht="18.75">
      <c r="A153" s="7" t="s">
        <v>14</v>
      </c>
      <c r="B153" s="7" t="s">
        <v>51</v>
      </c>
      <c r="C153" s="7" t="s">
        <v>41</v>
      </c>
      <c r="D153" s="7" t="s">
        <v>88</v>
      </c>
      <c r="E153" s="8">
        <v>225</v>
      </c>
      <c r="F153" s="8">
        <v>24</v>
      </c>
      <c r="G153" s="8">
        <v>-201</v>
      </c>
      <c r="H153" s="9">
        <v>-8.375</v>
      </c>
      <c r="I153" s="8">
        <v>275</v>
      </c>
      <c r="J153" s="8">
        <v>6600</v>
      </c>
      <c r="K153" s="8">
        <v>-55275</v>
      </c>
    </row>
    <row x14ac:dyDescent="0.25" r="154" customHeight="1" ht="18.75">
      <c r="A154" s="4" t="s">
        <v>14</v>
      </c>
      <c r="B154" s="4" t="s">
        <v>51</v>
      </c>
      <c r="C154" s="4" t="s">
        <v>41</v>
      </c>
      <c r="D154" s="4" t="s">
        <v>71</v>
      </c>
      <c r="E154" s="5">
        <v>197</v>
      </c>
      <c r="F154" s="5">
        <v>212</v>
      </c>
      <c r="G154" s="5">
        <v>15</v>
      </c>
      <c r="H154" s="6">
        <v>0.07075471698113207</v>
      </c>
      <c r="I154" s="5">
        <v>210</v>
      </c>
      <c r="J154" s="5">
        <v>44520</v>
      </c>
      <c r="K154" s="5">
        <v>3150</v>
      </c>
    </row>
    <row x14ac:dyDescent="0.25" r="155" customHeight="1" ht="18.75">
      <c r="A155" s="7" t="s">
        <v>14</v>
      </c>
      <c r="B155" s="7" t="s">
        <v>51</v>
      </c>
      <c r="C155" s="7" t="s">
        <v>41</v>
      </c>
      <c r="D155" s="7" t="s">
        <v>72</v>
      </c>
      <c r="E155" s="8">
        <v>101</v>
      </c>
      <c r="F155" s="8">
        <v>101</v>
      </c>
      <c r="G155" s="8">
        <v>0</v>
      </c>
      <c r="H155" s="9">
        <v>0</v>
      </c>
      <c r="I155" s="8">
        <v>150</v>
      </c>
      <c r="J155" s="8">
        <v>15150</v>
      </c>
      <c r="K155" s="8">
        <v>0</v>
      </c>
    </row>
    <row x14ac:dyDescent="0.25" r="156" customHeight="1" ht="18.75">
      <c r="A156" s="4" t="s">
        <v>14</v>
      </c>
      <c r="B156" s="4" t="s">
        <v>51</v>
      </c>
      <c r="C156" s="4" t="s">
        <v>43</v>
      </c>
      <c r="D156" s="4" t="s">
        <v>87</v>
      </c>
      <c r="E156" s="5">
        <v>1</v>
      </c>
      <c r="F156" s="5">
        <v>16</v>
      </c>
      <c r="G156" s="5">
        <v>15</v>
      </c>
      <c r="H156" s="6">
        <v>0.9375</v>
      </c>
      <c r="I156" s="5">
        <v>350</v>
      </c>
      <c r="J156" s="5">
        <v>5600</v>
      </c>
      <c r="K156" s="5">
        <v>5250</v>
      </c>
    </row>
    <row x14ac:dyDescent="0.25" r="157" customHeight="1" ht="18.75">
      <c r="A157" s="7" t="s">
        <v>14</v>
      </c>
      <c r="B157" s="7" t="s">
        <v>51</v>
      </c>
      <c r="C157" s="7" t="s">
        <v>43</v>
      </c>
      <c r="D157" s="7" t="s">
        <v>88</v>
      </c>
      <c r="E157" s="8">
        <v>1</v>
      </c>
      <c r="F157" s="8">
        <v>400</v>
      </c>
      <c r="G157" s="8">
        <v>399</v>
      </c>
      <c r="H157" s="9">
        <v>0.9975</v>
      </c>
      <c r="I157" s="8">
        <v>275</v>
      </c>
      <c r="J157" s="8">
        <v>110000</v>
      </c>
      <c r="K157" s="8">
        <v>109725</v>
      </c>
    </row>
    <row x14ac:dyDescent="0.25" r="158" customHeight="1" ht="18.75">
      <c r="A158" s="4" t="s">
        <v>14</v>
      </c>
      <c r="B158" s="4" t="s">
        <v>51</v>
      </c>
      <c r="C158" s="4" t="s">
        <v>43</v>
      </c>
      <c r="D158" s="4" t="s">
        <v>71</v>
      </c>
      <c r="E158" s="5">
        <v>1</v>
      </c>
      <c r="F158" s="5">
        <v>212</v>
      </c>
      <c r="G158" s="5">
        <v>211</v>
      </c>
      <c r="H158" s="6">
        <v>0.9952830188679245</v>
      </c>
      <c r="I158" s="5">
        <v>210</v>
      </c>
      <c r="J158" s="5">
        <v>44520</v>
      </c>
      <c r="K158" s="5">
        <v>44310</v>
      </c>
    </row>
    <row x14ac:dyDescent="0.25" r="159" customHeight="1" ht="18.75">
      <c r="A159" s="7" t="s">
        <v>14</v>
      </c>
      <c r="B159" s="7" t="s">
        <v>51</v>
      </c>
      <c r="C159" s="7" t="s">
        <v>43</v>
      </c>
      <c r="D159" s="7" t="s">
        <v>72</v>
      </c>
      <c r="E159" s="8">
        <v>14</v>
      </c>
      <c r="F159" s="8">
        <v>108</v>
      </c>
      <c r="G159" s="8">
        <v>94</v>
      </c>
      <c r="H159" s="9">
        <v>0.8703703703703703</v>
      </c>
      <c r="I159" s="8">
        <v>150</v>
      </c>
      <c r="J159" s="8">
        <v>16200</v>
      </c>
      <c r="K159" s="8">
        <v>14100</v>
      </c>
    </row>
    <row x14ac:dyDescent="0.25" r="160" customHeight="1" ht="18.75">
      <c r="A160" s="4" t="s">
        <v>15</v>
      </c>
      <c r="B160" s="4" t="s">
        <v>52</v>
      </c>
      <c r="C160" s="4" t="s">
        <v>53</v>
      </c>
      <c r="D160" s="4" t="s">
        <v>89</v>
      </c>
      <c r="E160" s="5">
        <v>97</v>
      </c>
      <c r="F160" s="5">
        <v>566</v>
      </c>
      <c r="G160" s="5">
        <v>469</v>
      </c>
      <c r="H160" s="6">
        <v>0.8286219081272085</v>
      </c>
      <c r="I160" s="5">
        <v>275</v>
      </c>
      <c r="J160" s="5">
        <v>155650</v>
      </c>
      <c r="K160" s="5">
        <v>128975</v>
      </c>
    </row>
    <row x14ac:dyDescent="0.25" r="161" customHeight="1" ht="18.75">
      <c r="A161" s="7" t="s">
        <v>15</v>
      </c>
      <c r="B161" s="7" t="s">
        <v>52</v>
      </c>
      <c r="C161" s="7" t="s">
        <v>53</v>
      </c>
      <c r="D161" s="7" t="s">
        <v>90</v>
      </c>
      <c r="E161" s="8">
        <v>6</v>
      </c>
      <c r="F161" s="8">
        <v>256</v>
      </c>
      <c r="G161" s="8">
        <v>250</v>
      </c>
      <c r="H161" s="9">
        <v>0.9765625</v>
      </c>
      <c r="I161" s="8">
        <v>210</v>
      </c>
      <c r="J161" s="8">
        <v>53760</v>
      </c>
      <c r="K161" s="8">
        <v>52500</v>
      </c>
    </row>
    <row x14ac:dyDescent="0.25" r="162" customHeight="1" ht="18.75">
      <c r="A162" s="4" t="s">
        <v>15</v>
      </c>
      <c r="B162" s="4" t="s">
        <v>52</v>
      </c>
      <c r="C162" s="4" t="s">
        <v>53</v>
      </c>
      <c r="D162" s="4" t="s">
        <v>91</v>
      </c>
      <c r="E162" s="5">
        <v>1</v>
      </c>
      <c r="F162" s="5">
        <v>222</v>
      </c>
      <c r="G162" s="5">
        <v>221</v>
      </c>
      <c r="H162" s="6">
        <v>0.9954954954954955</v>
      </c>
      <c r="I162" s="5">
        <v>150</v>
      </c>
      <c r="J162" s="5">
        <v>33300</v>
      </c>
      <c r="K162" s="5">
        <v>33150</v>
      </c>
    </row>
    <row x14ac:dyDescent="0.25" r="163" customHeight="1" ht="18.75">
      <c r="A163" s="7" t="s">
        <v>15</v>
      </c>
      <c r="B163" s="7" t="s">
        <v>52</v>
      </c>
      <c r="C163" s="7" t="s">
        <v>54</v>
      </c>
      <c r="D163" s="7" t="s">
        <v>89</v>
      </c>
      <c r="E163" s="8">
        <v>193</v>
      </c>
      <c r="F163" s="8">
        <v>177</v>
      </c>
      <c r="G163" s="8">
        <v>-16</v>
      </c>
      <c r="H163" s="9">
        <v>-0.0903954802259887</v>
      </c>
      <c r="I163" s="8">
        <v>275</v>
      </c>
      <c r="J163" s="8">
        <v>48675</v>
      </c>
      <c r="K163" s="8">
        <v>-4400</v>
      </c>
    </row>
    <row x14ac:dyDescent="0.25" r="164" customHeight="1" ht="18.75">
      <c r="A164" s="4" t="s">
        <v>15</v>
      </c>
      <c r="B164" s="4" t="s">
        <v>52</v>
      </c>
      <c r="C164" s="4" t="s">
        <v>54</v>
      </c>
      <c r="D164" s="4" t="s">
        <v>90</v>
      </c>
      <c r="E164" s="5">
        <v>54</v>
      </c>
      <c r="F164" s="5">
        <v>38</v>
      </c>
      <c r="G164" s="5">
        <v>-16</v>
      </c>
      <c r="H164" s="6">
        <v>-0.4210526315789473</v>
      </c>
      <c r="I164" s="5">
        <v>210</v>
      </c>
      <c r="J164" s="5">
        <v>7980</v>
      </c>
      <c r="K164" s="5">
        <v>-3360</v>
      </c>
    </row>
    <row x14ac:dyDescent="0.25" r="165" customHeight="1" ht="18.75">
      <c r="A165" s="7" t="s">
        <v>15</v>
      </c>
      <c r="B165" s="7" t="s">
        <v>52</v>
      </c>
      <c r="C165" s="7" t="s">
        <v>54</v>
      </c>
      <c r="D165" s="7" t="s">
        <v>91</v>
      </c>
      <c r="E165" s="8">
        <v>0</v>
      </c>
      <c r="F165" s="8">
        <v>0</v>
      </c>
      <c r="G165" s="8">
        <v>0</v>
      </c>
      <c r="H165" s="9">
        <v>0</v>
      </c>
      <c r="I165" s="8">
        <v>150</v>
      </c>
      <c r="J165" s="8">
        <v>0</v>
      </c>
      <c r="K165" s="8">
        <v>0</v>
      </c>
    </row>
    <row x14ac:dyDescent="0.25" r="166" customHeight="1" ht="18.75">
      <c r="A166" s="4" t="s">
        <v>15</v>
      </c>
      <c r="B166" s="4" t="s">
        <v>52</v>
      </c>
      <c r="C166" s="4" t="s">
        <v>55</v>
      </c>
      <c r="D166" s="4" t="s">
        <v>89</v>
      </c>
      <c r="E166" s="5">
        <v>144</v>
      </c>
      <c r="F166" s="5">
        <v>177</v>
      </c>
      <c r="G166" s="5">
        <v>33</v>
      </c>
      <c r="H166" s="6">
        <v>0.1864406779661017</v>
      </c>
      <c r="I166" s="5">
        <v>275</v>
      </c>
      <c r="J166" s="5">
        <v>48675</v>
      </c>
      <c r="K166" s="5">
        <v>9075</v>
      </c>
    </row>
    <row x14ac:dyDescent="0.25" r="167" customHeight="1" ht="18.75">
      <c r="A167" s="7" t="s">
        <v>15</v>
      </c>
      <c r="B167" s="7" t="s">
        <v>52</v>
      </c>
      <c r="C167" s="7" t="s">
        <v>55</v>
      </c>
      <c r="D167" s="7" t="s">
        <v>90</v>
      </c>
      <c r="E167" s="8">
        <v>16</v>
      </c>
      <c r="F167" s="8">
        <v>38</v>
      </c>
      <c r="G167" s="8">
        <v>22</v>
      </c>
      <c r="H167" s="9">
        <v>0.5789473684210527</v>
      </c>
      <c r="I167" s="8">
        <v>210</v>
      </c>
      <c r="J167" s="8">
        <v>7980</v>
      </c>
      <c r="K167" s="8">
        <v>4620</v>
      </c>
    </row>
    <row x14ac:dyDescent="0.25" r="168" customHeight="1" ht="18.75">
      <c r="A168" s="4" t="s">
        <v>15</v>
      </c>
      <c r="B168" s="4" t="s">
        <v>52</v>
      </c>
      <c r="C168" s="4" t="s">
        <v>55</v>
      </c>
      <c r="D168" s="4" t="s">
        <v>91</v>
      </c>
      <c r="E168" s="5">
        <v>0</v>
      </c>
      <c r="F168" s="5">
        <v>0</v>
      </c>
      <c r="G168" s="5">
        <v>0</v>
      </c>
      <c r="H168" s="6">
        <v>0</v>
      </c>
      <c r="I168" s="5">
        <v>150</v>
      </c>
      <c r="J168" s="5">
        <v>0</v>
      </c>
      <c r="K168" s="5">
        <v>0</v>
      </c>
    </row>
    <row x14ac:dyDescent="0.25" r="169" customHeight="1" ht="18.75">
      <c r="A169" s="7" t="s">
        <v>15</v>
      </c>
      <c r="B169" s="7" t="s">
        <v>52</v>
      </c>
      <c r="C169" s="7" t="s">
        <v>47</v>
      </c>
      <c r="D169" s="7" t="s">
        <v>89</v>
      </c>
      <c r="E169" s="8">
        <v>175</v>
      </c>
      <c r="F169" s="8">
        <v>177</v>
      </c>
      <c r="G169" s="8">
        <v>2</v>
      </c>
      <c r="H169" s="9">
        <v>0.01129943502824859</v>
      </c>
      <c r="I169" s="8">
        <v>275</v>
      </c>
      <c r="J169" s="8">
        <v>48675</v>
      </c>
      <c r="K169" s="8">
        <v>550</v>
      </c>
    </row>
    <row x14ac:dyDescent="0.25" r="170" customHeight="1" ht="18.75">
      <c r="A170" s="4" t="s">
        <v>15</v>
      </c>
      <c r="B170" s="4" t="s">
        <v>52</v>
      </c>
      <c r="C170" s="4" t="s">
        <v>47</v>
      </c>
      <c r="D170" s="4" t="s">
        <v>90</v>
      </c>
      <c r="E170" s="5">
        <v>45</v>
      </c>
      <c r="F170" s="5">
        <v>38</v>
      </c>
      <c r="G170" s="5">
        <v>-7</v>
      </c>
      <c r="H170" s="6">
        <v>-0.1842105263157895</v>
      </c>
      <c r="I170" s="5">
        <v>210</v>
      </c>
      <c r="J170" s="5">
        <v>7980</v>
      </c>
      <c r="K170" s="5">
        <v>-1470</v>
      </c>
    </row>
    <row x14ac:dyDescent="0.25" r="171" customHeight="1" ht="18.75">
      <c r="A171" s="7" t="s">
        <v>15</v>
      </c>
      <c r="B171" s="7" t="s">
        <v>52</v>
      </c>
      <c r="C171" s="7" t="s">
        <v>47</v>
      </c>
      <c r="D171" s="7" t="s">
        <v>91</v>
      </c>
      <c r="E171" s="8">
        <v>0</v>
      </c>
      <c r="F171" s="8">
        <v>0</v>
      </c>
      <c r="G171" s="8">
        <v>0</v>
      </c>
      <c r="H171" s="9">
        <v>0</v>
      </c>
      <c r="I171" s="8">
        <v>150</v>
      </c>
      <c r="J171" s="8">
        <v>0</v>
      </c>
      <c r="K171" s="8">
        <v>0</v>
      </c>
    </row>
    <row x14ac:dyDescent="0.25" r="172" customHeight="1" ht="18.75">
      <c r="A172" s="4" t="s">
        <v>15</v>
      </c>
      <c r="B172" s="4" t="s">
        <v>52</v>
      </c>
      <c r="C172" s="4" t="s">
        <v>46</v>
      </c>
      <c r="D172" s="4" t="s">
        <v>89</v>
      </c>
      <c r="E172" s="5">
        <v>195</v>
      </c>
      <c r="F172" s="5">
        <v>177</v>
      </c>
      <c r="G172" s="5">
        <v>-18</v>
      </c>
      <c r="H172" s="6">
        <v>-0.1016949152542373</v>
      </c>
      <c r="I172" s="5">
        <v>275</v>
      </c>
      <c r="J172" s="5">
        <v>48675</v>
      </c>
      <c r="K172" s="5">
        <v>-4950</v>
      </c>
    </row>
    <row x14ac:dyDescent="0.25" r="173" customHeight="1" ht="18.75">
      <c r="A173" s="7" t="s">
        <v>15</v>
      </c>
      <c r="B173" s="7" t="s">
        <v>52</v>
      </c>
      <c r="C173" s="7" t="s">
        <v>46</v>
      </c>
      <c r="D173" s="7" t="s">
        <v>90</v>
      </c>
      <c r="E173" s="8">
        <v>60</v>
      </c>
      <c r="F173" s="8">
        <v>38</v>
      </c>
      <c r="G173" s="8">
        <v>-22</v>
      </c>
      <c r="H173" s="9">
        <v>-0.5789473684210527</v>
      </c>
      <c r="I173" s="8">
        <v>210</v>
      </c>
      <c r="J173" s="8">
        <v>7980</v>
      </c>
      <c r="K173" s="8">
        <v>-4620</v>
      </c>
    </row>
    <row x14ac:dyDescent="0.25" r="174" customHeight="1" ht="18.75">
      <c r="A174" s="4" t="s">
        <v>15</v>
      </c>
      <c r="B174" s="4" t="s">
        <v>52</v>
      </c>
      <c r="C174" s="4" t="s">
        <v>46</v>
      </c>
      <c r="D174" s="4" t="s">
        <v>91</v>
      </c>
      <c r="E174" s="5">
        <v>0</v>
      </c>
      <c r="F174" s="5">
        <v>0</v>
      </c>
      <c r="G174" s="5">
        <v>0</v>
      </c>
      <c r="H174" s="6">
        <v>0</v>
      </c>
      <c r="I174" s="5">
        <v>150</v>
      </c>
      <c r="J174" s="5">
        <v>0</v>
      </c>
      <c r="K174" s="5">
        <v>0</v>
      </c>
    </row>
    <row x14ac:dyDescent="0.25" r="175" customHeight="1" ht="18.75">
      <c r="A175" s="7" t="s">
        <v>15</v>
      </c>
      <c r="B175" s="7" t="s">
        <v>52</v>
      </c>
      <c r="C175" s="7" t="s">
        <v>27</v>
      </c>
      <c r="D175" s="7" t="s">
        <v>89</v>
      </c>
      <c r="E175" s="8">
        <v>54</v>
      </c>
      <c r="F175" s="8">
        <v>566</v>
      </c>
      <c r="G175" s="8">
        <v>512</v>
      </c>
      <c r="H175" s="9">
        <v>0.9045936395759717</v>
      </c>
      <c r="I175" s="8">
        <v>275</v>
      </c>
      <c r="J175" s="8">
        <v>155650</v>
      </c>
      <c r="K175" s="8">
        <v>140800</v>
      </c>
    </row>
    <row x14ac:dyDescent="0.25" r="176" customHeight="1" ht="18.75">
      <c r="A176" s="4" t="s">
        <v>15</v>
      </c>
      <c r="B176" s="4" t="s">
        <v>52</v>
      </c>
      <c r="C176" s="4" t="s">
        <v>27</v>
      </c>
      <c r="D176" s="4" t="s">
        <v>90</v>
      </c>
      <c r="E176" s="5">
        <v>7</v>
      </c>
      <c r="F176" s="5">
        <v>256</v>
      </c>
      <c r="G176" s="5">
        <v>249</v>
      </c>
      <c r="H176" s="6">
        <v>0.97265625</v>
      </c>
      <c r="I176" s="5">
        <v>210</v>
      </c>
      <c r="J176" s="5">
        <v>53760</v>
      </c>
      <c r="K176" s="5">
        <v>52290</v>
      </c>
    </row>
    <row x14ac:dyDescent="0.25" r="177" customHeight="1" ht="18.75">
      <c r="A177" s="7" t="s">
        <v>15</v>
      </c>
      <c r="B177" s="7" t="s">
        <v>52</v>
      </c>
      <c r="C177" s="7" t="s">
        <v>27</v>
      </c>
      <c r="D177" s="7" t="s">
        <v>91</v>
      </c>
      <c r="E177" s="8">
        <v>1</v>
      </c>
      <c r="F177" s="8">
        <v>222</v>
      </c>
      <c r="G177" s="8">
        <v>221</v>
      </c>
      <c r="H177" s="9">
        <v>0.9954954954954955</v>
      </c>
      <c r="I177" s="8">
        <v>150</v>
      </c>
      <c r="J177" s="8">
        <v>33300</v>
      </c>
      <c r="K177" s="8">
        <v>33150</v>
      </c>
    </row>
    <row x14ac:dyDescent="0.25" r="178" customHeight="1" ht="18.75">
      <c r="A178" s="4" t="s">
        <v>16</v>
      </c>
      <c r="B178" s="4" t="s">
        <v>56</v>
      </c>
      <c r="C178" s="4" t="s">
        <v>26</v>
      </c>
      <c r="D178" s="4" t="s">
        <v>80</v>
      </c>
      <c r="E178" s="5">
        <v>28</v>
      </c>
      <c r="F178" s="5">
        <v>64</v>
      </c>
      <c r="G178" s="5">
        <v>36</v>
      </c>
      <c r="H178" s="6">
        <v>0.5625</v>
      </c>
      <c r="I178" s="5">
        <v>275</v>
      </c>
      <c r="J178" s="5">
        <v>17600</v>
      </c>
      <c r="K178" s="5">
        <v>9900</v>
      </c>
    </row>
    <row x14ac:dyDescent="0.25" r="179" customHeight="1" ht="18.75">
      <c r="A179" s="7" t="s">
        <v>16</v>
      </c>
      <c r="B179" s="7" t="s">
        <v>56</v>
      </c>
      <c r="C179" s="7" t="s">
        <v>26</v>
      </c>
      <c r="D179" s="7" t="s">
        <v>81</v>
      </c>
      <c r="E179" s="8">
        <v>194</v>
      </c>
      <c r="F179" s="8">
        <v>230</v>
      </c>
      <c r="G179" s="8">
        <v>36</v>
      </c>
      <c r="H179" s="9">
        <v>0.1565217391304348</v>
      </c>
      <c r="I179" s="8">
        <v>275</v>
      </c>
      <c r="J179" s="8">
        <v>63250</v>
      </c>
      <c r="K179" s="8">
        <v>9900</v>
      </c>
    </row>
    <row x14ac:dyDescent="0.25" r="180" customHeight="1" ht="18.75">
      <c r="A180" s="4" t="s">
        <v>16</v>
      </c>
      <c r="B180" s="4" t="s">
        <v>56</v>
      </c>
      <c r="C180" s="4" t="s">
        <v>26</v>
      </c>
      <c r="D180" s="4" t="s">
        <v>76</v>
      </c>
      <c r="E180" s="5">
        <v>12</v>
      </c>
      <c r="F180" s="5">
        <v>26</v>
      </c>
      <c r="G180" s="5">
        <v>14</v>
      </c>
      <c r="H180" s="6">
        <v>0.5384615384615384</v>
      </c>
      <c r="I180" s="5">
        <v>210</v>
      </c>
      <c r="J180" s="5">
        <v>5460</v>
      </c>
      <c r="K180" s="5">
        <v>2940</v>
      </c>
    </row>
    <row x14ac:dyDescent="0.25" r="181" customHeight="1" ht="18.75">
      <c r="A181" s="7" t="s">
        <v>16</v>
      </c>
      <c r="B181" s="7" t="s">
        <v>56</v>
      </c>
      <c r="C181" s="7" t="s">
        <v>26</v>
      </c>
      <c r="D181" s="7" t="s">
        <v>77</v>
      </c>
      <c r="E181" s="8">
        <v>67</v>
      </c>
      <c r="F181" s="8">
        <v>82</v>
      </c>
      <c r="G181" s="8">
        <v>15</v>
      </c>
      <c r="H181" s="9">
        <v>0.1829268292682927</v>
      </c>
      <c r="I181" s="8">
        <v>150</v>
      </c>
      <c r="J181" s="8">
        <v>12300</v>
      </c>
      <c r="K181" s="8">
        <v>2250</v>
      </c>
    </row>
    <row x14ac:dyDescent="0.25" r="182" customHeight="1" ht="18.75">
      <c r="A182" s="4" t="s">
        <v>16</v>
      </c>
      <c r="B182" s="4" t="s">
        <v>56</v>
      </c>
      <c r="C182" s="4" t="s">
        <v>29</v>
      </c>
      <c r="D182" s="4" t="s">
        <v>80</v>
      </c>
      <c r="E182" s="5">
        <v>2</v>
      </c>
      <c r="F182" s="5">
        <v>64</v>
      </c>
      <c r="G182" s="5">
        <v>62</v>
      </c>
      <c r="H182" s="6">
        <v>0.96875</v>
      </c>
      <c r="I182" s="5">
        <v>275</v>
      </c>
      <c r="J182" s="5">
        <v>17600</v>
      </c>
      <c r="K182" s="5">
        <v>17050</v>
      </c>
    </row>
    <row x14ac:dyDescent="0.25" r="183" customHeight="1" ht="18.75">
      <c r="A183" s="7" t="s">
        <v>16</v>
      </c>
      <c r="B183" s="7" t="s">
        <v>56</v>
      </c>
      <c r="C183" s="7" t="s">
        <v>29</v>
      </c>
      <c r="D183" s="7" t="s">
        <v>81</v>
      </c>
      <c r="E183" s="8">
        <v>107</v>
      </c>
      <c r="F183" s="8">
        <v>230</v>
      </c>
      <c r="G183" s="8">
        <v>123</v>
      </c>
      <c r="H183" s="9">
        <v>0.5347826086956522</v>
      </c>
      <c r="I183" s="8">
        <v>275</v>
      </c>
      <c r="J183" s="8">
        <v>63250</v>
      </c>
      <c r="K183" s="8">
        <v>33825</v>
      </c>
    </row>
    <row x14ac:dyDescent="0.25" r="184" customHeight="1" ht="18.75">
      <c r="A184" s="4" t="s">
        <v>16</v>
      </c>
      <c r="B184" s="4" t="s">
        <v>56</v>
      </c>
      <c r="C184" s="4" t="s">
        <v>29</v>
      </c>
      <c r="D184" s="4" t="s">
        <v>76</v>
      </c>
      <c r="E184" s="5">
        <v>11</v>
      </c>
      <c r="F184" s="5">
        <v>26</v>
      </c>
      <c r="G184" s="5">
        <v>15</v>
      </c>
      <c r="H184" s="6">
        <v>0.5769230769230769</v>
      </c>
      <c r="I184" s="5">
        <v>210</v>
      </c>
      <c r="J184" s="5">
        <v>5460</v>
      </c>
      <c r="K184" s="5">
        <v>3150</v>
      </c>
    </row>
    <row x14ac:dyDescent="0.25" r="185" customHeight="1" ht="18.75">
      <c r="A185" s="7" t="s">
        <v>16</v>
      </c>
      <c r="B185" s="7" t="s">
        <v>56</v>
      </c>
      <c r="C185" s="7" t="s">
        <v>29</v>
      </c>
      <c r="D185" s="7" t="s">
        <v>77</v>
      </c>
      <c r="E185" s="8">
        <v>49</v>
      </c>
      <c r="F185" s="8">
        <v>82</v>
      </c>
      <c r="G185" s="8">
        <v>33</v>
      </c>
      <c r="H185" s="9">
        <v>0.4024390243902439</v>
      </c>
      <c r="I185" s="8">
        <v>150</v>
      </c>
      <c r="J185" s="8">
        <v>12300</v>
      </c>
      <c r="K185" s="8">
        <v>4950</v>
      </c>
    </row>
    <row x14ac:dyDescent="0.25" r="186" customHeight="1" ht="18.75">
      <c r="A186" s="4" t="s">
        <v>16</v>
      </c>
      <c r="B186" s="4" t="s">
        <v>56</v>
      </c>
      <c r="C186" s="4" t="s">
        <v>28</v>
      </c>
      <c r="D186" s="4" t="s">
        <v>80</v>
      </c>
      <c r="E186" s="5">
        <v>14</v>
      </c>
      <c r="F186" s="5">
        <v>64</v>
      </c>
      <c r="G186" s="5">
        <v>50</v>
      </c>
      <c r="H186" s="6">
        <v>0.78125</v>
      </c>
      <c r="I186" s="5">
        <v>275</v>
      </c>
      <c r="J186" s="5">
        <v>17600</v>
      </c>
      <c r="K186" s="5">
        <v>13750</v>
      </c>
    </row>
    <row x14ac:dyDescent="0.25" r="187" customHeight="1" ht="18.75">
      <c r="A187" s="7" t="s">
        <v>16</v>
      </c>
      <c r="B187" s="7" t="s">
        <v>56</v>
      </c>
      <c r="C187" s="7" t="s">
        <v>28</v>
      </c>
      <c r="D187" s="7" t="s">
        <v>81</v>
      </c>
      <c r="E187" s="8">
        <v>140</v>
      </c>
      <c r="F187" s="8">
        <v>230</v>
      </c>
      <c r="G187" s="8">
        <v>90</v>
      </c>
      <c r="H187" s="9">
        <v>0.391304347826087</v>
      </c>
      <c r="I187" s="8">
        <v>275</v>
      </c>
      <c r="J187" s="8">
        <v>63250</v>
      </c>
      <c r="K187" s="8">
        <v>24750</v>
      </c>
    </row>
    <row x14ac:dyDescent="0.25" r="188" customHeight="1" ht="18.75">
      <c r="A188" s="4" t="s">
        <v>16</v>
      </c>
      <c r="B188" s="4" t="s">
        <v>56</v>
      </c>
      <c r="C188" s="4" t="s">
        <v>28</v>
      </c>
      <c r="D188" s="4" t="s">
        <v>76</v>
      </c>
      <c r="E188" s="5">
        <v>15</v>
      </c>
      <c r="F188" s="5">
        <v>26</v>
      </c>
      <c r="G188" s="5">
        <v>11</v>
      </c>
      <c r="H188" s="6">
        <v>0.4230769230769231</v>
      </c>
      <c r="I188" s="5">
        <v>210</v>
      </c>
      <c r="J188" s="5">
        <v>5460</v>
      </c>
      <c r="K188" s="5">
        <v>2310</v>
      </c>
    </row>
    <row x14ac:dyDescent="0.25" r="189" customHeight="1" ht="18.75">
      <c r="A189" s="7" t="s">
        <v>16</v>
      </c>
      <c r="B189" s="7" t="s">
        <v>56</v>
      </c>
      <c r="C189" s="7" t="s">
        <v>28</v>
      </c>
      <c r="D189" s="7" t="s">
        <v>77</v>
      </c>
      <c r="E189" s="8">
        <v>68</v>
      </c>
      <c r="F189" s="8">
        <v>82</v>
      </c>
      <c r="G189" s="8">
        <v>14</v>
      </c>
      <c r="H189" s="9">
        <v>0.1707317073170732</v>
      </c>
      <c r="I189" s="8">
        <v>150</v>
      </c>
      <c r="J189" s="8">
        <v>12300</v>
      </c>
      <c r="K189" s="8">
        <v>2100</v>
      </c>
    </row>
    <row x14ac:dyDescent="0.25" r="190" customHeight="1" ht="18.75">
      <c r="A190" s="4" t="s">
        <v>16</v>
      </c>
      <c r="B190" s="4" t="s">
        <v>56</v>
      </c>
      <c r="C190" s="4" t="s">
        <v>30</v>
      </c>
      <c r="D190" s="4" t="s">
        <v>80</v>
      </c>
      <c r="E190" s="5">
        <v>7</v>
      </c>
      <c r="F190" s="5">
        <v>64</v>
      </c>
      <c r="G190" s="5">
        <v>57</v>
      </c>
      <c r="H190" s="6">
        <v>0.890625</v>
      </c>
      <c r="I190" s="5">
        <v>275</v>
      </c>
      <c r="J190" s="5">
        <v>17600</v>
      </c>
      <c r="K190" s="5">
        <v>15675</v>
      </c>
    </row>
    <row x14ac:dyDescent="0.25" r="191" customHeight="1" ht="18.75">
      <c r="A191" s="7" t="s">
        <v>16</v>
      </c>
      <c r="B191" s="7" t="s">
        <v>56</v>
      </c>
      <c r="C191" s="7" t="s">
        <v>30</v>
      </c>
      <c r="D191" s="7" t="s">
        <v>81</v>
      </c>
      <c r="E191" s="8">
        <v>100</v>
      </c>
      <c r="F191" s="8">
        <v>230</v>
      </c>
      <c r="G191" s="8">
        <v>130</v>
      </c>
      <c r="H191" s="9">
        <v>0.5652173913043478</v>
      </c>
      <c r="I191" s="8">
        <v>275</v>
      </c>
      <c r="J191" s="8">
        <v>63250</v>
      </c>
      <c r="K191" s="8">
        <v>35750</v>
      </c>
    </row>
    <row x14ac:dyDescent="0.25" r="192" customHeight="1" ht="18.75">
      <c r="A192" s="4" t="s">
        <v>16</v>
      </c>
      <c r="B192" s="4" t="s">
        <v>56</v>
      </c>
      <c r="C192" s="4" t="s">
        <v>30</v>
      </c>
      <c r="D192" s="4" t="s">
        <v>76</v>
      </c>
      <c r="E192" s="5">
        <v>12</v>
      </c>
      <c r="F192" s="5">
        <v>26</v>
      </c>
      <c r="G192" s="5">
        <v>14</v>
      </c>
      <c r="H192" s="6">
        <v>0.5384615384615384</v>
      </c>
      <c r="I192" s="5">
        <v>210</v>
      </c>
      <c r="J192" s="5">
        <v>5460</v>
      </c>
      <c r="K192" s="5">
        <v>2940</v>
      </c>
    </row>
    <row x14ac:dyDescent="0.25" r="193" customHeight="1" ht="18.75">
      <c r="A193" s="7" t="s">
        <v>16</v>
      </c>
      <c r="B193" s="7" t="s">
        <v>56</v>
      </c>
      <c r="C193" s="7" t="s">
        <v>30</v>
      </c>
      <c r="D193" s="7" t="s">
        <v>77</v>
      </c>
      <c r="E193" s="8">
        <v>67</v>
      </c>
      <c r="F193" s="8">
        <v>82</v>
      </c>
      <c r="G193" s="8">
        <v>15</v>
      </c>
      <c r="H193" s="9">
        <v>0.1829268292682927</v>
      </c>
      <c r="I193" s="8">
        <v>150</v>
      </c>
      <c r="J193" s="8">
        <v>12300</v>
      </c>
      <c r="K193" s="8">
        <v>2250</v>
      </c>
    </row>
    <row x14ac:dyDescent="0.25" r="194" customHeight="1" ht="18.75">
      <c r="A194" s="4" t="s">
        <v>16</v>
      </c>
      <c r="B194" s="4" t="s">
        <v>56</v>
      </c>
      <c r="C194" s="4" t="s">
        <v>57</v>
      </c>
      <c r="D194" s="4" t="s">
        <v>80</v>
      </c>
      <c r="E194" s="5">
        <v>0</v>
      </c>
      <c r="F194" s="5">
        <v>64</v>
      </c>
      <c r="G194" s="5">
        <v>64</v>
      </c>
      <c r="H194" s="6">
        <v>1</v>
      </c>
      <c r="I194" s="5">
        <v>275</v>
      </c>
      <c r="J194" s="5">
        <v>17600</v>
      </c>
      <c r="K194" s="5">
        <v>17600</v>
      </c>
    </row>
    <row x14ac:dyDescent="0.25" r="195" customHeight="1" ht="18.75">
      <c r="A195" s="7" t="s">
        <v>16</v>
      </c>
      <c r="B195" s="7" t="s">
        <v>56</v>
      </c>
      <c r="C195" s="7" t="s">
        <v>57</v>
      </c>
      <c r="D195" s="7" t="s">
        <v>81</v>
      </c>
      <c r="E195" s="8">
        <v>0</v>
      </c>
      <c r="F195" s="8">
        <v>230</v>
      </c>
      <c r="G195" s="8">
        <v>230</v>
      </c>
      <c r="H195" s="9">
        <v>1</v>
      </c>
      <c r="I195" s="8">
        <v>275</v>
      </c>
      <c r="J195" s="8">
        <v>63250</v>
      </c>
      <c r="K195" s="8">
        <v>63250</v>
      </c>
    </row>
    <row x14ac:dyDescent="0.25" r="196" customHeight="1" ht="18.75">
      <c r="A196" s="4" t="s">
        <v>16</v>
      </c>
      <c r="B196" s="4" t="s">
        <v>56</v>
      </c>
      <c r="C196" s="4" t="s">
        <v>57</v>
      </c>
      <c r="D196" s="4" t="s">
        <v>76</v>
      </c>
      <c r="E196" s="5">
        <v>0</v>
      </c>
      <c r="F196" s="5">
        <v>26</v>
      </c>
      <c r="G196" s="5">
        <v>26</v>
      </c>
      <c r="H196" s="6">
        <v>1</v>
      </c>
      <c r="I196" s="5">
        <v>210</v>
      </c>
      <c r="J196" s="5">
        <v>5460</v>
      </c>
      <c r="K196" s="5">
        <v>5460</v>
      </c>
    </row>
    <row x14ac:dyDescent="0.25" r="197" customHeight="1" ht="18.75">
      <c r="A197" s="7" t="s">
        <v>16</v>
      </c>
      <c r="B197" s="7" t="s">
        <v>56</v>
      </c>
      <c r="C197" s="7" t="s">
        <v>57</v>
      </c>
      <c r="D197" s="7" t="s">
        <v>77</v>
      </c>
      <c r="E197" s="8">
        <v>0</v>
      </c>
      <c r="F197" s="8">
        <v>82</v>
      </c>
      <c r="G197" s="8">
        <v>82</v>
      </c>
      <c r="H197" s="9">
        <v>1</v>
      </c>
      <c r="I197" s="8">
        <v>150</v>
      </c>
      <c r="J197" s="8">
        <v>12300</v>
      </c>
      <c r="K197" s="8">
        <v>12300</v>
      </c>
    </row>
    <row x14ac:dyDescent="0.25" r="198" customHeight="1" ht="18.75">
      <c r="A198" s="4" t="s">
        <v>16</v>
      </c>
      <c r="B198" s="4" t="s">
        <v>56</v>
      </c>
      <c r="C198" s="4" t="s">
        <v>25</v>
      </c>
      <c r="D198" s="4" t="s">
        <v>80</v>
      </c>
      <c r="E198" s="5">
        <v>15</v>
      </c>
      <c r="F198" s="5">
        <v>64</v>
      </c>
      <c r="G198" s="5">
        <v>49</v>
      </c>
      <c r="H198" s="6">
        <v>0.765625</v>
      </c>
      <c r="I198" s="5">
        <v>275</v>
      </c>
      <c r="J198" s="5">
        <v>17600</v>
      </c>
      <c r="K198" s="5">
        <v>13475</v>
      </c>
    </row>
    <row x14ac:dyDescent="0.25" r="199" customHeight="1" ht="18.75">
      <c r="A199" s="7" t="s">
        <v>16</v>
      </c>
      <c r="B199" s="7" t="s">
        <v>56</v>
      </c>
      <c r="C199" s="7" t="s">
        <v>25</v>
      </c>
      <c r="D199" s="7" t="s">
        <v>81</v>
      </c>
      <c r="E199" s="8">
        <v>155</v>
      </c>
      <c r="F199" s="8">
        <v>230</v>
      </c>
      <c r="G199" s="8">
        <v>75</v>
      </c>
      <c r="H199" s="9">
        <v>0.3260869565217391</v>
      </c>
      <c r="I199" s="8">
        <v>275</v>
      </c>
      <c r="J199" s="8">
        <v>63250</v>
      </c>
      <c r="K199" s="8">
        <v>20625</v>
      </c>
    </row>
    <row x14ac:dyDescent="0.25" r="200" customHeight="1" ht="18.75">
      <c r="A200" s="4" t="s">
        <v>16</v>
      </c>
      <c r="B200" s="4" t="s">
        <v>56</v>
      </c>
      <c r="C200" s="4" t="s">
        <v>25</v>
      </c>
      <c r="D200" s="4" t="s">
        <v>76</v>
      </c>
      <c r="E200" s="5">
        <v>22</v>
      </c>
      <c r="F200" s="5">
        <v>26</v>
      </c>
      <c r="G200" s="5">
        <v>4</v>
      </c>
      <c r="H200" s="6">
        <v>0.1538461538461539</v>
      </c>
      <c r="I200" s="5">
        <v>210</v>
      </c>
      <c r="J200" s="5">
        <v>5460</v>
      </c>
      <c r="K200" s="5">
        <v>840</v>
      </c>
    </row>
    <row x14ac:dyDescent="0.25" r="201" customHeight="1" ht="18.75">
      <c r="A201" s="7" t="s">
        <v>16</v>
      </c>
      <c r="B201" s="7" t="s">
        <v>56</v>
      </c>
      <c r="C201" s="7" t="s">
        <v>25</v>
      </c>
      <c r="D201" s="7" t="s">
        <v>77</v>
      </c>
      <c r="E201" s="8">
        <v>64</v>
      </c>
      <c r="F201" s="8">
        <v>82</v>
      </c>
      <c r="G201" s="8">
        <v>18</v>
      </c>
      <c r="H201" s="9">
        <v>0.2195121951219512</v>
      </c>
      <c r="I201" s="8">
        <v>150</v>
      </c>
      <c r="J201" s="8">
        <v>12300</v>
      </c>
      <c r="K201" s="8">
        <v>2700</v>
      </c>
    </row>
    <row x14ac:dyDescent="0.25" r="202" customHeight="1" ht="18.75">
      <c r="A202" s="4" t="s">
        <v>17</v>
      </c>
      <c r="B202" s="4" t="s">
        <v>58</v>
      </c>
      <c r="C202" s="4" t="s">
        <v>28</v>
      </c>
      <c r="D202" s="4" t="s">
        <v>75</v>
      </c>
      <c r="E202" s="5">
        <v>393</v>
      </c>
      <c r="F202" s="5">
        <v>533</v>
      </c>
      <c r="G202" s="5">
        <v>140</v>
      </c>
      <c r="H202" s="6">
        <v>0.2626641651031895</v>
      </c>
      <c r="I202" s="5">
        <v>275</v>
      </c>
      <c r="J202" s="5">
        <v>146575</v>
      </c>
      <c r="K202" s="5">
        <v>38500</v>
      </c>
    </row>
    <row x14ac:dyDescent="0.25" r="203" customHeight="1" ht="18.75">
      <c r="A203" s="7" t="s">
        <v>17</v>
      </c>
      <c r="B203" s="7" t="s">
        <v>58</v>
      </c>
      <c r="C203" s="7" t="s">
        <v>28</v>
      </c>
      <c r="D203" s="7" t="s">
        <v>76</v>
      </c>
      <c r="E203" s="8">
        <v>302</v>
      </c>
      <c r="F203" s="8">
        <v>511</v>
      </c>
      <c r="G203" s="8">
        <v>209</v>
      </c>
      <c r="H203" s="9">
        <v>0.4090019569471624</v>
      </c>
      <c r="I203" s="8">
        <v>210</v>
      </c>
      <c r="J203" s="8">
        <v>107310</v>
      </c>
      <c r="K203" s="8">
        <v>43890</v>
      </c>
    </row>
    <row x14ac:dyDescent="0.25" r="204" customHeight="1" ht="18.75">
      <c r="A204" s="4" t="s">
        <v>17</v>
      </c>
      <c r="B204" s="4" t="s">
        <v>58</v>
      </c>
      <c r="C204" s="4" t="s">
        <v>28</v>
      </c>
      <c r="D204" s="4" t="s">
        <v>77</v>
      </c>
      <c r="E204" s="5">
        <v>0</v>
      </c>
      <c r="F204" s="5">
        <v>266</v>
      </c>
      <c r="G204" s="5">
        <v>266</v>
      </c>
      <c r="H204" s="6">
        <v>1</v>
      </c>
      <c r="I204" s="5">
        <v>150</v>
      </c>
      <c r="J204" s="5">
        <v>39900</v>
      </c>
      <c r="K204" s="5">
        <v>39900</v>
      </c>
    </row>
    <row x14ac:dyDescent="0.25" r="205" customHeight="1" ht="18.75">
      <c r="A205" s="7" t="s">
        <v>17</v>
      </c>
      <c r="B205" s="7" t="s">
        <v>58</v>
      </c>
      <c r="C205" s="7" t="s">
        <v>46</v>
      </c>
      <c r="D205" s="7" t="s">
        <v>75</v>
      </c>
      <c r="E205" s="8">
        <v>410</v>
      </c>
      <c r="F205" s="8">
        <v>533</v>
      </c>
      <c r="G205" s="8">
        <v>123</v>
      </c>
      <c r="H205" s="9">
        <v>0.2307692307692308</v>
      </c>
      <c r="I205" s="8">
        <v>275</v>
      </c>
      <c r="J205" s="8">
        <v>146575</v>
      </c>
      <c r="K205" s="8">
        <v>33825</v>
      </c>
    </row>
    <row x14ac:dyDescent="0.25" r="206" customHeight="1" ht="18.75">
      <c r="A206" s="4" t="s">
        <v>17</v>
      </c>
      <c r="B206" s="4" t="s">
        <v>58</v>
      </c>
      <c r="C206" s="4" t="s">
        <v>46</v>
      </c>
      <c r="D206" s="4" t="s">
        <v>76</v>
      </c>
      <c r="E206" s="5">
        <v>373</v>
      </c>
      <c r="F206" s="5">
        <v>511</v>
      </c>
      <c r="G206" s="5">
        <v>138</v>
      </c>
      <c r="H206" s="6">
        <v>0.2700587084148728</v>
      </c>
      <c r="I206" s="5">
        <v>210</v>
      </c>
      <c r="J206" s="5">
        <v>107310</v>
      </c>
      <c r="K206" s="5">
        <v>28980</v>
      </c>
    </row>
    <row x14ac:dyDescent="0.25" r="207" customHeight="1" ht="18.75">
      <c r="A207" s="7" t="s">
        <v>17</v>
      </c>
      <c r="B207" s="7" t="s">
        <v>58</v>
      </c>
      <c r="C207" s="7" t="s">
        <v>46</v>
      </c>
      <c r="D207" s="7" t="s">
        <v>77</v>
      </c>
      <c r="E207" s="8">
        <v>0</v>
      </c>
      <c r="F207" s="8">
        <v>266</v>
      </c>
      <c r="G207" s="8">
        <v>266</v>
      </c>
      <c r="H207" s="9">
        <v>1</v>
      </c>
      <c r="I207" s="8">
        <v>150</v>
      </c>
      <c r="J207" s="8">
        <v>39900</v>
      </c>
      <c r="K207" s="8">
        <v>39900</v>
      </c>
    </row>
    <row x14ac:dyDescent="0.25" r="208" customHeight="1" ht="18.75">
      <c r="A208" s="4" t="s">
        <v>17</v>
      </c>
      <c r="B208" s="4" t="s">
        <v>58</v>
      </c>
      <c r="C208" s="4" t="s">
        <v>29</v>
      </c>
      <c r="D208" s="4" t="s">
        <v>75</v>
      </c>
      <c r="E208" s="5">
        <v>104</v>
      </c>
      <c r="F208" s="5">
        <v>533</v>
      </c>
      <c r="G208" s="5">
        <v>429</v>
      </c>
      <c r="H208" s="6">
        <v>0.8048780487804879</v>
      </c>
      <c r="I208" s="5">
        <v>275</v>
      </c>
      <c r="J208" s="5">
        <v>146575</v>
      </c>
      <c r="K208" s="5">
        <v>117975</v>
      </c>
    </row>
    <row x14ac:dyDescent="0.25" r="209" customHeight="1" ht="18.75">
      <c r="A209" s="7" t="s">
        <v>17</v>
      </c>
      <c r="B209" s="7" t="s">
        <v>58</v>
      </c>
      <c r="C209" s="7" t="s">
        <v>29</v>
      </c>
      <c r="D209" s="7" t="s">
        <v>76</v>
      </c>
      <c r="E209" s="8">
        <v>92</v>
      </c>
      <c r="F209" s="8">
        <v>511</v>
      </c>
      <c r="G209" s="8">
        <v>419</v>
      </c>
      <c r="H209" s="9">
        <v>0.8199608610567515</v>
      </c>
      <c r="I209" s="8">
        <v>210</v>
      </c>
      <c r="J209" s="8">
        <v>107310</v>
      </c>
      <c r="K209" s="8">
        <v>87990</v>
      </c>
    </row>
    <row x14ac:dyDescent="0.25" r="210" customHeight="1" ht="18.75">
      <c r="A210" s="4" t="s">
        <v>17</v>
      </c>
      <c r="B210" s="4" t="s">
        <v>58</v>
      </c>
      <c r="C210" s="4" t="s">
        <v>29</v>
      </c>
      <c r="D210" s="4" t="s">
        <v>77</v>
      </c>
      <c r="E210" s="5">
        <v>0</v>
      </c>
      <c r="F210" s="5">
        <v>266</v>
      </c>
      <c r="G210" s="5">
        <v>266</v>
      </c>
      <c r="H210" s="6">
        <v>1</v>
      </c>
      <c r="I210" s="5">
        <v>150</v>
      </c>
      <c r="J210" s="5">
        <v>39900</v>
      </c>
      <c r="K210" s="5">
        <v>39900</v>
      </c>
    </row>
    <row x14ac:dyDescent="0.25" r="211" customHeight="1" ht="18.75">
      <c r="A211" s="7" t="s">
        <v>17</v>
      </c>
      <c r="B211" s="7" t="s">
        <v>58</v>
      </c>
      <c r="C211" s="7" t="s">
        <v>30</v>
      </c>
      <c r="D211" s="7" t="s">
        <v>75</v>
      </c>
      <c r="E211" s="8">
        <v>416</v>
      </c>
      <c r="F211" s="8">
        <v>533</v>
      </c>
      <c r="G211" s="8">
        <v>117</v>
      </c>
      <c r="H211" s="9">
        <v>0.2195121951219512</v>
      </c>
      <c r="I211" s="8">
        <v>275</v>
      </c>
      <c r="J211" s="8">
        <v>146575</v>
      </c>
      <c r="K211" s="8">
        <v>32175</v>
      </c>
    </row>
    <row x14ac:dyDescent="0.25" r="212" customHeight="1" ht="18.75">
      <c r="A212" s="4" t="s">
        <v>17</v>
      </c>
      <c r="B212" s="4" t="s">
        <v>58</v>
      </c>
      <c r="C212" s="4" t="s">
        <v>30</v>
      </c>
      <c r="D212" s="4" t="s">
        <v>76</v>
      </c>
      <c r="E212" s="5">
        <v>332</v>
      </c>
      <c r="F212" s="5">
        <v>511</v>
      </c>
      <c r="G212" s="5">
        <v>179</v>
      </c>
      <c r="H212" s="6">
        <v>0.350293542074364</v>
      </c>
      <c r="I212" s="5">
        <v>210</v>
      </c>
      <c r="J212" s="5">
        <v>107310</v>
      </c>
      <c r="K212" s="5">
        <v>37590</v>
      </c>
    </row>
    <row x14ac:dyDescent="0.25" r="213" customHeight="1" ht="18.75">
      <c r="A213" s="7" t="s">
        <v>17</v>
      </c>
      <c r="B213" s="7" t="s">
        <v>58</v>
      </c>
      <c r="C213" s="7" t="s">
        <v>30</v>
      </c>
      <c r="D213" s="7" t="s">
        <v>77</v>
      </c>
      <c r="E213" s="8">
        <v>0</v>
      </c>
      <c r="F213" s="8">
        <v>266</v>
      </c>
      <c r="G213" s="8">
        <v>266</v>
      </c>
      <c r="H213" s="9">
        <v>1</v>
      </c>
      <c r="I213" s="8">
        <v>150</v>
      </c>
      <c r="J213" s="8">
        <v>39900</v>
      </c>
      <c r="K213" s="8">
        <v>39900</v>
      </c>
    </row>
    <row x14ac:dyDescent="0.25" r="214" customHeight="1" ht="18.75">
      <c r="A214" s="4" t="s">
        <v>17</v>
      </c>
      <c r="B214" s="4" t="s">
        <v>58</v>
      </c>
      <c r="C214" s="4" t="s">
        <v>25</v>
      </c>
      <c r="D214" s="4" t="s">
        <v>75</v>
      </c>
      <c r="E214" s="5">
        <v>386</v>
      </c>
      <c r="F214" s="5">
        <v>533</v>
      </c>
      <c r="G214" s="5">
        <v>147</v>
      </c>
      <c r="H214" s="6">
        <v>0.275797373358349</v>
      </c>
      <c r="I214" s="5">
        <v>275</v>
      </c>
      <c r="J214" s="5">
        <v>146575</v>
      </c>
      <c r="K214" s="5">
        <v>40425</v>
      </c>
    </row>
    <row x14ac:dyDescent="0.25" r="215" customHeight="1" ht="18.75">
      <c r="A215" s="7" t="s">
        <v>17</v>
      </c>
      <c r="B215" s="7" t="s">
        <v>58</v>
      </c>
      <c r="C215" s="7" t="s">
        <v>25</v>
      </c>
      <c r="D215" s="7" t="s">
        <v>76</v>
      </c>
      <c r="E215" s="8">
        <v>314</v>
      </c>
      <c r="F215" s="8">
        <v>511</v>
      </c>
      <c r="G215" s="8">
        <v>197</v>
      </c>
      <c r="H215" s="9">
        <v>0.385518590998043</v>
      </c>
      <c r="I215" s="8">
        <v>210</v>
      </c>
      <c r="J215" s="8">
        <v>107310</v>
      </c>
      <c r="K215" s="8">
        <v>41370</v>
      </c>
    </row>
    <row x14ac:dyDescent="0.25" r="216" customHeight="1" ht="18.75">
      <c r="A216" s="4" t="s">
        <v>17</v>
      </c>
      <c r="B216" s="4" t="s">
        <v>58</v>
      </c>
      <c r="C216" s="4" t="s">
        <v>25</v>
      </c>
      <c r="D216" s="4" t="s">
        <v>77</v>
      </c>
      <c r="E216" s="5">
        <v>0</v>
      </c>
      <c r="F216" s="5">
        <v>266</v>
      </c>
      <c r="G216" s="5">
        <v>266</v>
      </c>
      <c r="H216" s="6">
        <v>1</v>
      </c>
      <c r="I216" s="5">
        <v>150</v>
      </c>
      <c r="J216" s="5">
        <v>39900</v>
      </c>
      <c r="K216" s="5">
        <v>39900</v>
      </c>
    </row>
    <row x14ac:dyDescent="0.25" r="217" customHeight="1" ht="18.75">
      <c r="A217" s="7" t="s">
        <v>18</v>
      </c>
      <c r="B217" s="7" t="s">
        <v>59</v>
      </c>
      <c r="C217" s="7" t="s">
        <v>27</v>
      </c>
      <c r="D217" s="7" t="s">
        <v>78</v>
      </c>
      <c r="E217" s="8">
        <v>0</v>
      </c>
      <c r="F217" s="8">
        <v>486</v>
      </c>
      <c r="G217" s="8">
        <v>486</v>
      </c>
      <c r="H217" s="9">
        <v>1</v>
      </c>
      <c r="I217" s="8">
        <v>275</v>
      </c>
      <c r="J217" s="8">
        <v>133650</v>
      </c>
      <c r="K217" s="8">
        <v>133650</v>
      </c>
    </row>
    <row x14ac:dyDescent="0.25" r="218" customHeight="1" ht="18.75">
      <c r="A218" s="4" t="s">
        <v>18</v>
      </c>
      <c r="B218" s="4" t="s">
        <v>59</v>
      </c>
      <c r="C218" s="4" t="s">
        <v>27</v>
      </c>
      <c r="D218" s="4" t="s">
        <v>71</v>
      </c>
      <c r="E218" s="5">
        <v>0</v>
      </c>
      <c r="F218" s="5">
        <v>52</v>
      </c>
      <c r="G218" s="5">
        <v>52</v>
      </c>
      <c r="H218" s="6">
        <v>1</v>
      </c>
      <c r="I218" s="5">
        <v>210</v>
      </c>
      <c r="J218" s="5">
        <v>10920</v>
      </c>
      <c r="K218" s="5">
        <v>10920</v>
      </c>
    </row>
    <row x14ac:dyDescent="0.25" r="219" customHeight="1" ht="18.75">
      <c r="A219" s="7" t="s">
        <v>18</v>
      </c>
      <c r="B219" s="7" t="s">
        <v>59</v>
      </c>
      <c r="C219" s="7" t="s">
        <v>27</v>
      </c>
      <c r="D219" s="7" t="s">
        <v>72</v>
      </c>
      <c r="E219" s="8">
        <v>0</v>
      </c>
      <c r="F219" s="8">
        <v>154</v>
      </c>
      <c r="G219" s="8">
        <v>154</v>
      </c>
      <c r="H219" s="9">
        <v>1</v>
      </c>
      <c r="I219" s="8">
        <v>150</v>
      </c>
      <c r="J219" s="8">
        <v>23100</v>
      </c>
      <c r="K219" s="8">
        <v>23100</v>
      </c>
    </row>
    <row x14ac:dyDescent="0.25" r="220" customHeight="1" ht="18.75">
      <c r="A220" s="4" t="s">
        <v>18</v>
      </c>
      <c r="B220" s="4" t="s">
        <v>59</v>
      </c>
      <c r="C220" s="4" t="s">
        <v>41</v>
      </c>
      <c r="D220" s="4" t="s">
        <v>78</v>
      </c>
      <c r="E220" s="5">
        <v>107</v>
      </c>
      <c r="F220" s="5">
        <v>486</v>
      </c>
      <c r="G220" s="5">
        <v>379</v>
      </c>
      <c r="H220" s="6">
        <v>0.779835390946502</v>
      </c>
      <c r="I220" s="5">
        <v>275</v>
      </c>
      <c r="J220" s="5">
        <v>133650</v>
      </c>
      <c r="K220" s="5">
        <v>104225</v>
      </c>
    </row>
    <row x14ac:dyDescent="0.25" r="221" customHeight="1" ht="18.75">
      <c r="A221" s="7" t="s">
        <v>18</v>
      </c>
      <c r="B221" s="7" t="s">
        <v>59</v>
      </c>
      <c r="C221" s="7" t="s">
        <v>41</v>
      </c>
      <c r="D221" s="7" t="s">
        <v>71</v>
      </c>
      <c r="E221" s="8">
        <v>31</v>
      </c>
      <c r="F221" s="8">
        <v>52</v>
      </c>
      <c r="G221" s="8">
        <v>21</v>
      </c>
      <c r="H221" s="9">
        <v>0.4038461538461539</v>
      </c>
      <c r="I221" s="8">
        <v>210</v>
      </c>
      <c r="J221" s="8">
        <v>10920</v>
      </c>
      <c r="K221" s="8">
        <v>4410</v>
      </c>
    </row>
    <row x14ac:dyDescent="0.25" r="222" customHeight="1" ht="18.75">
      <c r="A222" s="4" t="s">
        <v>18</v>
      </c>
      <c r="B222" s="4" t="s">
        <v>59</v>
      </c>
      <c r="C222" s="4" t="s">
        <v>41</v>
      </c>
      <c r="D222" s="4" t="s">
        <v>72</v>
      </c>
      <c r="E222" s="5">
        <v>68</v>
      </c>
      <c r="F222" s="5">
        <v>154</v>
      </c>
      <c r="G222" s="5">
        <v>86</v>
      </c>
      <c r="H222" s="6">
        <v>0.5584415584415584</v>
      </c>
      <c r="I222" s="5">
        <v>150</v>
      </c>
      <c r="J222" s="5">
        <v>23100</v>
      </c>
      <c r="K222" s="5">
        <v>12900</v>
      </c>
    </row>
    <row x14ac:dyDescent="0.25" r="223" customHeight="1" ht="18.75">
      <c r="A223" s="7" t="s">
        <v>18</v>
      </c>
      <c r="B223" s="7" t="s">
        <v>59</v>
      </c>
      <c r="C223" s="7" t="s">
        <v>28</v>
      </c>
      <c r="D223" s="7" t="s">
        <v>78</v>
      </c>
      <c r="E223" s="8">
        <v>15</v>
      </c>
      <c r="F223" s="8">
        <v>486</v>
      </c>
      <c r="G223" s="8">
        <v>471</v>
      </c>
      <c r="H223" s="9">
        <v>0.9691358024691358</v>
      </c>
      <c r="I223" s="8">
        <v>275</v>
      </c>
      <c r="J223" s="8">
        <v>133650</v>
      </c>
      <c r="K223" s="8">
        <v>129525</v>
      </c>
    </row>
    <row x14ac:dyDescent="0.25" r="224" customHeight="1" ht="18.75">
      <c r="A224" s="4" t="s">
        <v>18</v>
      </c>
      <c r="B224" s="4" t="s">
        <v>59</v>
      </c>
      <c r="C224" s="4" t="s">
        <v>28</v>
      </c>
      <c r="D224" s="4" t="s">
        <v>71</v>
      </c>
      <c r="E224" s="5">
        <v>6</v>
      </c>
      <c r="F224" s="5">
        <v>52</v>
      </c>
      <c r="G224" s="5">
        <v>46</v>
      </c>
      <c r="H224" s="6">
        <v>0.8846153846153846</v>
      </c>
      <c r="I224" s="5">
        <v>210</v>
      </c>
      <c r="J224" s="5">
        <v>10920</v>
      </c>
      <c r="K224" s="5">
        <v>9660</v>
      </c>
    </row>
    <row x14ac:dyDescent="0.25" r="225" customHeight="1" ht="18.75">
      <c r="A225" s="7" t="s">
        <v>18</v>
      </c>
      <c r="B225" s="7" t="s">
        <v>59</v>
      </c>
      <c r="C225" s="7" t="s">
        <v>28</v>
      </c>
      <c r="D225" s="7" t="s">
        <v>72</v>
      </c>
      <c r="E225" s="8">
        <v>22</v>
      </c>
      <c r="F225" s="8">
        <v>154</v>
      </c>
      <c r="G225" s="8">
        <v>132</v>
      </c>
      <c r="H225" s="9">
        <v>0.8571428571428571</v>
      </c>
      <c r="I225" s="8">
        <v>150</v>
      </c>
      <c r="J225" s="8">
        <v>23100</v>
      </c>
      <c r="K225" s="8">
        <v>19800</v>
      </c>
    </row>
    <row x14ac:dyDescent="0.25" r="226" customHeight="1" ht="18.75">
      <c r="A226" s="4" t="s">
        <v>18</v>
      </c>
      <c r="B226" s="4" t="s">
        <v>59</v>
      </c>
      <c r="C226" s="4" t="s">
        <v>60</v>
      </c>
      <c r="D226" s="4" t="s">
        <v>78</v>
      </c>
      <c r="E226" s="5">
        <v>76</v>
      </c>
      <c r="F226" s="5">
        <v>486</v>
      </c>
      <c r="G226" s="5">
        <v>410</v>
      </c>
      <c r="H226" s="6">
        <v>0.8436213991769548</v>
      </c>
      <c r="I226" s="5">
        <v>275</v>
      </c>
      <c r="J226" s="5">
        <v>133650</v>
      </c>
      <c r="K226" s="5">
        <v>112750</v>
      </c>
    </row>
    <row x14ac:dyDescent="0.25" r="227" customHeight="1" ht="18.75">
      <c r="A227" s="7" t="s">
        <v>18</v>
      </c>
      <c r="B227" s="7" t="s">
        <v>59</v>
      </c>
      <c r="C227" s="7" t="s">
        <v>60</v>
      </c>
      <c r="D227" s="7" t="s">
        <v>71</v>
      </c>
      <c r="E227" s="8">
        <v>27</v>
      </c>
      <c r="F227" s="8">
        <v>52</v>
      </c>
      <c r="G227" s="8">
        <v>25</v>
      </c>
      <c r="H227" s="9">
        <v>0.4807692307692308</v>
      </c>
      <c r="I227" s="8">
        <v>210</v>
      </c>
      <c r="J227" s="8">
        <v>10920</v>
      </c>
      <c r="K227" s="8">
        <v>5250</v>
      </c>
    </row>
    <row x14ac:dyDescent="0.25" r="228" customHeight="1" ht="18.75">
      <c r="A228" s="4" t="s">
        <v>18</v>
      </c>
      <c r="B228" s="4" t="s">
        <v>59</v>
      </c>
      <c r="C228" s="4" t="s">
        <v>60</v>
      </c>
      <c r="D228" s="4" t="s">
        <v>72</v>
      </c>
      <c r="E228" s="5">
        <v>71</v>
      </c>
      <c r="F228" s="5">
        <v>154</v>
      </c>
      <c r="G228" s="5">
        <v>83</v>
      </c>
      <c r="H228" s="6">
        <v>0.538961038961039</v>
      </c>
      <c r="I228" s="5">
        <v>150</v>
      </c>
      <c r="J228" s="5">
        <v>23100</v>
      </c>
      <c r="K228" s="5">
        <v>12450</v>
      </c>
    </row>
    <row x14ac:dyDescent="0.25" r="229" customHeight="1" ht="18.75">
      <c r="A229" s="7" t="s">
        <v>18</v>
      </c>
      <c r="B229" s="7" t="s">
        <v>59</v>
      </c>
      <c r="C229" s="7" t="s">
        <v>61</v>
      </c>
      <c r="D229" s="7" t="s">
        <v>78</v>
      </c>
      <c r="E229" s="8">
        <v>214</v>
      </c>
      <c r="F229" s="8">
        <v>486</v>
      </c>
      <c r="G229" s="8">
        <v>272</v>
      </c>
      <c r="H229" s="9">
        <v>0.5596707818930041</v>
      </c>
      <c r="I229" s="8">
        <v>275</v>
      </c>
      <c r="J229" s="8">
        <v>133650</v>
      </c>
      <c r="K229" s="8">
        <v>74800</v>
      </c>
    </row>
    <row x14ac:dyDescent="0.25" r="230" customHeight="1" ht="18.75">
      <c r="A230" s="4" t="s">
        <v>18</v>
      </c>
      <c r="B230" s="4" t="s">
        <v>59</v>
      </c>
      <c r="C230" s="4" t="s">
        <v>61</v>
      </c>
      <c r="D230" s="4" t="s">
        <v>71</v>
      </c>
      <c r="E230" s="5">
        <v>36</v>
      </c>
      <c r="F230" s="5">
        <v>52</v>
      </c>
      <c r="G230" s="5">
        <v>16</v>
      </c>
      <c r="H230" s="6">
        <v>0.3076923076923077</v>
      </c>
      <c r="I230" s="5">
        <v>210</v>
      </c>
      <c r="J230" s="5">
        <v>10920</v>
      </c>
      <c r="K230" s="5">
        <v>3360</v>
      </c>
    </row>
    <row x14ac:dyDescent="0.25" r="231" customHeight="1" ht="18.75">
      <c r="A231" s="7" t="s">
        <v>18</v>
      </c>
      <c r="B231" s="7" t="s">
        <v>59</v>
      </c>
      <c r="C231" s="7" t="s">
        <v>61</v>
      </c>
      <c r="D231" s="7" t="s">
        <v>72</v>
      </c>
      <c r="E231" s="8">
        <v>89</v>
      </c>
      <c r="F231" s="8">
        <v>154</v>
      </c>
      <c r="G231" s="8">
        <v>65</v>
      </c>
      <c r="H231" s="9">
        <v>0.4220779220779221</v>
      </c>
      <c r="I231" s="8">
        <v>150</v>
      </c>
      <c r="J231" s="8">
        <v>23100</v>
      </c>
      <c r="K231" s="8">
        <v>9750</v>
      </c>
    </row>
    <row x14ac:dyDescent="0.25" r="232" customHeight="1" ht="18.75">
      <c r="A232" s="4" t="s">
        <v>18</v>
      </c>
      <c r="B232" s="4" t="s">
        <v>59</v>
      </c>
      <c r="C232" s="4" t="s">
        <v>62</v>
      </c>
      <c r="D232" s="4" t="s">
        <v>78</v>
      </c>
      <c r="E232" s="5">
        <v>1</v>
      </c>
      <c r="F232" s="5">
        <v>486</v>
      </c>
      <c r="G232" s="5">
        <v>485</v>
      </c>
      <c r="H232" s="6">
        <v>0.9979423868312757</v>
      </c>
      <c r="I232" s="5">
        <v>275</v>
      </c>
      <c r="J232" s="5">
        <v>133650</v>
      </c>
      <c r="K232" s="5">
        <v>133375</v>
      </c>
    </row>
    <row x14ac:dyDescent="0.25" r="233" customHeight="1" ht="18.75">
      <c r="A233" s="7" t="s">
        <v>18</v>
      </c>
      <c r="B233" s="7" t="s">
        <v>59</v>
      </c>
      <c r="C233" s="7" t="s">
        <v>62</v>
      </c>
      <c r="D233" s="7" t="s">
        <v>71</v>
      </c>
      <c r="E233" s="8">
        <v>1</v>
      </c>
      <c r="F233" s="8">
        <v>52</v>
      </c>
      <c r="G233" s="8">
        <v>51</v>
      </c>
      <c r="H233" s="9">
        <v>0.9807692307692307</v>
      </c>
      <c r="I233" s="8">
        <v>210</v>
      </c>
      <c r="J233" s="8">
        <v>10920</v>
      </c>
      <c r="K233" s="8">
        <v>10710</v>
      </c>
    </row>
    <row x14ac:dyDescent="0.25" r="234" customHeight="1" ht="18.75">
      <c r="A234" s="4" t="s">
        <v>18</v>
      </c>
      <c r="B234" s="4" t="s">
        <v>59</v>
      </c>
      <c r="C234" s="4" t="s">
        <v>62</v>
      </c>
      <c r="D234" s="4" t="s">
        <v>72</v>
      </c>
      <c r="E234" s="5">
        <v>4</v>
      </c>
      <c r="F234" s="5">
        <v>154</v>
      </c>
      <c r="G234" s="5">
        <v>150</v>
      </c>
      <c r="H234" s="6">
        <v>0.974025974025974</v>
      </c>
      <c r="I234" s="5">
        <v>150</v>
      </c>
      <c r="J234" s="5">
        <v>23100</v>
      </c>
      <c r="K234" s="5">
        <v>22500</v>
      </c>
    </row>
    <row x14ac:dyDescent="0.25" r="235" customHeight="1" ht="18.75">
      <c r="A235" s="7" t="s">
        <v>19</v>
      </c>
      <c r="B235" s="7" t="s">
        <v>63</v>
      </c>
      <c r="C235" s="7" t="s">
        <v>46</v>
      </c>
      <c r="D235" s="7" t="s">
        <v>75</v>
      </c>
      <c r="E235" s="8">
        <v>100</v>
      </c>
      <c r="F235" s="8">
        <v>265</v>
      </c>
      <c r="G235" s="8">
        <v>165</v>
      </c>
      <c r="H235" s="9">
        <v>0.6226415094339622</v>
      </c>
      <c r="I235" s="8">
        <v>275</v>
      </c>
      <c r="J235" s="8">
        <v>72875</v>
      </c>
      <c r="K235" s="8">
        <v>45375</v>
      </c>
    </row>
    <row x14ac:dyDescent="0.25" r="236" customHeight="1" ht="18.75">
      <c r="A236" s="4" t="s">
        <v>19</v>
      </c>
      <c r="B236" s="4" t="s">
        <v>63</v>
      </c>
      <c r="C236" s="4" t="s">
        <v>46</v>
      </c>
      <c r="D236" s="4" t="s">
        <v>82</v>
      </c>
      <c r="E236" s="5">
        <v>100</v>
      </c>
      <c r="F236" s="5">
        <v>300</v>
      </c>
      <c r="G236" s="5">
        <v>200</v>
      </c>
      <c r="H236" s="6">
        <v>0.6666666666666666</v>
      </c>
      <c r="I236" s="5">
        <v>250</v>
      </c>
      <c r="J236" s="5">
        <v>75000</v>
      </c>
      <c r="K236" s="5">
        <v>50000</v>
      </c>
    </row>
    <row x14ac:dyDescent="0.25" r="237" customHeight="1" ht="18.75">
      <c r="A237" s="7" t="s">
        <v>19</v>
      </c>
      <c r="B237" s="7" t="s">
        <v>63</v>
      </c>
      <c r="C237" s="7" t="s">
        <v>46</v>
      </c>
      <c r="D237" s="7" t="s">
        <v>76</v>
      </c>
      <c r="E237" s="8">
        <v>0</v>
      </c>
      <c r="F237" s="8">
        <v>125</v>
      </c>
      <c r="G237" s="8">
        <v>125</v>
      </c>
      <c r="H237" s="9">
        <v>1</v>
      </c>
      <c r="I237" s="8">
        <v>180</v>
      </c>
      <c r="J237" s="8">
        <v>22500</v>
      </c>
      <c r="K237" s="8">
        <v>22500</v>
      </c>
    </row>
    <row x14ac:dyDescent="0.25" r="238" customHeight="1" ht="18.75">
      <c r="A238" s="4" t="s">
        <v>19</v>
      </c>
      <c r="B238" s="4" t="s">
        <v>63</v>
      </c>
      <c r="C238" s="4" t="s">
        <v>46</v>
      </c>
      <c r="D238" s="4" t="s">
        <v>83</v>
      </c>
      <c r="E238" s="5">
        <v>0</v>
      </c>
      <c r="F238" s="5">
        <v>125</v>
      </c>
      <c r="G238" s="5">
        <v>125</v>
      </c>
      <c r="H238" s="6">
        <v>1</v>
      </c>
      <c r="I238" s="5">
        <v>150</v>
      </c>
      <c r="J238" s="5">
        <v>18750</v>
      </c>
      <c r="K238" s="5">
        <v>18750</v>
      </c>
    </row>
    <row x14ac:dyDescent="0.25" r="239" customHeight="1" ht="18.75">
      <c r="A239" s="7" t="s">
        <v>19</v>
      </c>
      <c r="B239" s="7" t="s">
        <v>63</v>
      </c>
      <c r="C239" s="7" t="s">
        <v>47</v>
      </c>
      <c r="D239" s="7" t="s">
        <v>75</v>
      </c>
      <c r="E239" s="8">
        <v>100</v>
      </c>
      <c r="F239" s="8">
        <v>265</v>
      </c>
      <c r="G239" s="8">
        <v>165</v>
      </c>
      <c r="H239" s="9">
        <v>0.6226415094339622</v>
      </c>
      <c r="I239" s="8">
        <v>275</v>
      </c>
      <c r="J239" s="8">
        <v>72875</v>
      </c>
      <c r="K239" s="8">
        <v>45375</v>
      </c>
    </row>
    <row x14ac:dyDescent="0.25" r="240" customHeight="1" ht="18.75">
      <c r="A240" s="4" t="s">
        <v>19</v>
      </c>
      <c r="B240" s="4" t="s">
        <v>63</v>
      </c>
      <c r="C240" s="4" t="s">
        <v>47</v>
      </c>
      <c r="D240" s="4" t="s">
        <v>82</v>
      </c>
      <c r="E240" s="5">
        <v>100</v>
      </c>
      <c r="F240" s="5">
        <v>300</v>
      </c>
      <c r="G240" s="5">
        <v>200</v>
      </c>
      <c r="H240" s="6">
        <v>0.6666666666666666</v>
      </c>
      <c r="I240" s="5">
        <v>250</v>
      </c>
      <c r="J240" s="5">
        <v>75000</v>
      </c>
      <c r="K240" s="5">
        <v>50000</v>
      </c>
    </row>
    <row x14ac:dyDescent="0.25" r="241" customHeight="1" ht="18.75">
      <c r="A241" s="7" t="s">
        <v>19</v>
      </c>
      <c r="B241" s="7" t="s">
        <v>63</v>
      </c>
      <c r="C241" s="7" t="s">
        <v>47</v>
      </c>
      <c r="D241" s="7" t="s">
        <v>76</v>
      </c>
      <c r="E241" s="8">
        <v>0</v>
      </c>
      <c r="F241" s="8">
        <v>125</v>
      </c>
      <c r="G241" s="8">
        <v>125</v>
      </c>
      <c r="H241" s="9">
        <v>1</v>
      </c>
      <c r="I241" s="8">
        <v>180</v>
      </c>
      <c r="J241" s="8">
        <v>22500</v>
      </c>
      <c r="K241" s="8">
        <v>22500</v>
      </c>
    </row>
    <row x14ac:dyDescent="0.25" r="242" customHeight="1" ht="18.75">
      <c r="A242" s="4" t="s">
        <v>19</v>
      </c>
      <c r="B242" s="4" t="s">
        <v>63</v>
      </c>
      <c r="C242" s="4" t="s">
        <v>47</v>
      </c>
      <c r="D242" s="4" t="s">
        <v>83</v>
      </c>
      <c r="E242" s="5">
        <v>0</v>
      </c>
      <c r="F242" s="5">
        <v>125</v>
      </c>
      <c r="G242" s="5">
        <v>125</v>
      </c>
      <c r="H242" s="6">
        <v>1</v>
      </c>
      <c r="I242" s="5">
        <v>150</v>
      </c>
      <c r="J242" s="5">
        <v>18750</v>
      </c>
      <c r="K242" s="5">
        <v>18750</v>
      </c>
    </row>
    <row x14ac:dyDescent="0.25" r="243" customHeight="1" ht="18.75">
      <c r="A243" s="7" t="s">
        <v>19</v>
      </c>
      <c r="B243" s="7" t="s">
        <v>63</v>
      </c>
      <c r="C243" s="7" t="s">
        <v>28</v>
      </c>
      <c r="D243" s="7" t="s">
        <v>75</v>
      </c>
      <c r="E243" s="8">
        <v>100</v>
      </c>
      <c r="F243" s="8">
        <v>265</v>
      </c>
      <c r="G243" s="8">
        <v>165</v>
      </c>
      <c r="H243" s="9">
        <v>0.6226415094339622</v>
      </c>
      <c r="I243" s="8">
        <v>275</v>
      </c>
      <c r="J243" s="8">
        <v>72875</v>
      </c>
      <c r="K243" s="8">
        <v>45375</v>
      </c>
    </row>
    <row x14ac:dyDescent="0.25" r="244" customHeight="1" ht="18.75">
      <c r="A244" s="4" t="s">
        <v>19</v>
      </c>
      <c r="B244" s="4" t="s">
        <v>63</v>
      </c>
      <c r="C244" s="4" t="s">
        <v>28</v>
      </c>
      <c r="D244" s="4" t="s">
        <v>82</v>
      </c>
      <c r="E244" s="5">
        <v>100</v>
      </c>
      <c r="F244" s="5">
        <v>300</v>
      </c>
      <c r="G244" s="5">
        <v>200</v>
      </c>
      <c r="H244" s="6">
        <v>0.6666666666666666</v>
      </c>
      <c r="I244" s="5">
        <v>250</v>
      </c>
      <c r="J244" s="5">
        <v>75000</v>
      </c>
      <c r="K244" s="5">
        <v>50000</v>
      </c>
    </row>
    <row x14ac:dyDescent="0.25" r="245" customHeight="1" ht="18.75">
      <c r="A245" s="7" t="s">
        <v>19</v>
      </c>
      <c r="B245" s="7" t="s">
        <v>63</v>
      </c>
      <c r="C245" s="7" t="s">
        <v>28</v>
      </c>
      <c r="D245" s="7" t="s">
        <v>76</v>
      </c>
      <c r="E245" s="8">
        <v>0</v>
      </c>
      <c r="F245" s="8">
        <v>125</v>
      </c>
      <c r="G245" s="8">
        <v>125</v>
      </c>
      <c r="H245" s="9">
        <v>1</v>
      </c>
      <c r="I245" s="8">
        <v>180</v>
      </c>
      <c r="J245" s="8">
        <v>22500</v>
      </c>
      <c r="K245" s="8">
        <v>22500</v>
      </c>
    </row>
    <row x14ac:dyDescent="0.25" r="246" customHeight="1" ht="18.75">
      <c r="A246" s="4" t="s">
        <v>19</v>
      </c>
      <c r="B246" s="4" t="s">
        <v>63</v>
      </c>
      <c r="C246" s="4" t="s">
        <v>28</v>
      </c>
      <c r="D246" s="4" t="s">
        <v>83</v>
      </c>
      <c r="E246" s="5">
        <v>0</v>
      </c>
      <c r="F246" s="5">
        <v>125</v>
      </c>
      <c r="G246" s="5">
        <v>125</v>
      </c>
      <c r="H246" s="6">
        <v>1</v>
      </c>
      <c r="I246" s="5">
        <v>150</v>
      </c>
      <c r="J246" s="5">
        <v>18750</v>
      </c>
      <c r="K246" s="5">
        <v>18750</v>
      </c>
    </row>
    <row x14ac:dyDescent="0.25" r="247" customHeight="1" ht="18.75">
      <c r="A247" s="7" t="s">
        <v>19</v>
      </c>
      <c r="B247" s="7" t="s">
        <v>63</v>
      </c>
      <c r="C247" s="7" t="s">
        <v>29</v>
      </c>
      <c r="D247" s="7" t="s">
        <v>75</v>
      </c>
      <c r="E247" s="8">
        <v>100</v>
      </c>
      <c r="F247" s="8">
        <v>265</v>
      </c>
      <c r="G247" s="8">
        <v>165</v>
      </c>
      <c r="H247" s="9">
        <v>0.6226415094339622</v>
      </c>
      <c r="I247" s="8">
        <v>275</v>
      </c>
      <c r="J247" s="8">
        <v>72875</v>
      </c>
      <c r="K247" s="8">
        <v>45375</v>
      </c>
    </row>
    <row x14ac:dyDescent="0.25" r="248" customHeight="1" ht="18.75">
      <c r="A248" s="4" t="s">
        <v>19</v>
      </c>
      <c r="B248" s="4" t="s">
        <v>63</v>
      </c>
      <c r="C248" s="4" t="s">
        <v>29</v>
      </c>
      <c r="D248" s="4" t="s">
        <v>82</v>
      </c>
      <c r="E248" s="5">
        <v>100</v>
      </c>
      <c r="F248" s="5">
        <v>300</v>
      </c>
      <c r="G248" s="5">
        <v>200</v>
      </c>
      <c r="H248" s="6">
        <v>0.6666666666666666</v>
      </c>
      <c r="I248" s="5">
        <v>250</v>
      </c>
      <c r="J248" s="5">
        <v>75000</v>
      </c>
      <c r="K248" s="5">
        <v>50000</v>
      </c>
    </row>
    <row x14ac:dyDescent="0.25" r="249" customHeight="1" ht="18.75">
      <c r="A249" s="7" t="s">
        <v>19</v>
      </c>
      <c r="B249" s="7" t="s">
        <v>63</v>
      </c>
      <c r="C249" s="7" t="s">
        <v>29</v>
      </c>
      <c r="D249" s="7" t="s">
        <v>76</v>
      </c>
      <c r="E249" s="8">
        <v>0</v>
      </c>
      <c r="F249" s="8">
        <v>125</v>
      </c>
      <c r="G249" s="8">
        <v>125</v>
      </c>
      <c r="H249" s="9">
        <v>1</v>
      </c>
      <c r="I249" s="8">
        <v>180</v>
      </c>
      <c r="J249" s="8">
        <v>22500</v>
      </c>
      <c r="K249" s="8">
        <v>22500</v>
      </c>
    </row>
    <row x14ac:dyDescent="0.25" r="250" customHeight="1" ht="18.75">
      <c r="A250" s="4" t="s">
        <v>19</v>
      </c>
      <c r="B250" s="4" t="s">
        <v>63</v>
      </c>
      <c r="C250" s="4" t="s">
        <v>29</v>
      </c>
      <c r="D250" s="4" t="s">
        <v>83</v>
      </c>
      <c r="E250" s="5">
        <v>0</v>
      </c>
      <c r="F250" s="5">
        <v>125</v>
      </c>
      <c r="G250" s="5">
        <v>125</v>
      </c>
      <c r="H250" s="6">
        <v>1</v>
      </c>
      <c r="I250" s="5">
        <v>150</v>
      </c>
      <c r="J250" s="5">
        <v>18750</v>
      </c>
      <c r="K250" s="5">
        <v>18750</v>
      </c>
    </row>
    <row x14ac:dyDescent="0.25" r="251" customHeight="1" ht="18.75">
      <c r="A251" s="7" t="s">
        <v>19</v>
      </c>
      <c r="B251" s="7" t="s">
        <v>63</v>
      </c>
      <c r="C251" s="7" t="s">
        <v>25</v>
      </c>
      <c r="D251" s="7" t="s">
        <v>75</v>
      </c>
      <c r="E251" s="8">
        <v>100</v>
      </c>
      <c r="F251" s="8">
        <v>265</v>
      </c>
      <c r="G251" s="8">
        <v>165</v>
      </c>
      <c r="H251" s="9">
        <v>0.6226415094339622</v>
      </c>
      <c r="I251" s="8">
        <v>275</v>
      </c>
      <c r="J251" s="8">
        <v>72875</v>
      </c>
      <c r="K251" s="8">
        <v>45375</v>
      </c>
    </row>
    <row x14ac:dyDescent="0.25" r="252" customHeight="1" ht="18.75">
      <c r="A252" s="4" t="s">
        <v>19</v>
      </c>
      <c r="B252" s="4" t="s">
        <v>63</v>
      </c>
      <c r="C252" s="4" t="s">
        <v>25</v>
      </c>
      <c r="D252" s="4" t="s">
        <v>82</v>
      </c>
      <c r="E252" s="5">
        <v>100</v>
      </c>
      <c r="F252" s="5">
        <v>300</v>
      </c>
      <c r="G252" s="5">
        <v>200</v>
      </c>
      <c r="H252" s="6">
        <v>0.6666666666666666</v>
      </c>
      <c r="I252" s="5">
        <v>250</v>
      </c>
      <c r="J252" s="5">
        <v>75000</v>
      </c>
      <c r="K252" s="5">
        <v>50000</v>
      </c>
    </row>
    <row x14ac:dyDescent="0.25" r="253" customHeight="1" ht="18.75">
      <c r="A253" s="7" t="s">
        <v>19</v>
      </c>
      <c r="B253" s="7" t="s">
        <v>63</v>
      </c>
      <c r="C253" s="7" t="s">
        <v>25</v>
      </c>
      <c r="D253" s="7" t="s">
        <v>76</v>
      </c>
      <c r="E253" s="8">
        <v>0</v>
      </c>
      <c r="F253" s="8">
        <v>125</v>
      </c>
      <c r="G253" s="8">
        <v>125</v>
      </c>
      <c r="H253" s="9">
        <v>1</v>
      </c>
      <c r="I253" s="8">
        <v>180</v>
      </c>
      <c r="J253" s="8">
        <v>22500</v>
      </c>
      <c r="K253" s="8">
        <v>22500</v>
      </c>
    </row>
    <row x14ac:dyDescent="0.25" r="254" customHeight="1" ht="18.75">
      <c r="A254" s="4" t="s">
        <v>19</v>
      </c>
      <c r="B254" s="4" t="s">
        <v>63</v>
      </c>
      <c r="C254" s="4" t="s">
        <v>25</v>
      </c>
      <c r="D254" s="4" t="s">
        <v>83</v>
      </c>
      <c r="E254" s="5">
        <v>0</v>
      </c>
      <c r="F254" s="5">
        <v>125</v>
      </c>
      <c r="G254" s="5">
        <v>125</v>
      </c>
      <c r="H254" s="6">
        <v>1</v>
      </c>
      <c r="I254" s="5">
        <v>150</v>
      </c>
      <c r="J254" s="5">
        <v>18750</v>
      </c>
      <c r="K254" s="5">
        <v>18750</v>
      </c>
    </row>
    <row x14ac:dyDescent="0.25" r="255" customHeight="1" ht="18.75">
      <c r="A255" s="7" t="s">
        <v>19</v>
      </c>
      <c r="B255" s="7" t="s">
        <v>63</v>
      </c>
      <c r="C255" s="7" t="s">
        <v>64</v>
      </c>
      <c r="D255" s="7" t="s">
        <v>75</v>
      </c>
      <c r="E255" s="8">
        <v>100</v>
      </c>
      <c r="F255" s="8">
        <v>265</v>
      </c>
      <c r="G255" s="8">
        <v>165</v>
      </c>
      <c r="H255" s="9">
        <v>0.6226415094339622</v>
      </c>
      <c r="I255" s="8">
        <v>275</v>
      </c>
      <c r="J255" s="8">
        <v>72875</v>
      </c>
      <c r="K255" s="8">
        <v>45375</v>
      </c>
    </row>
    <row x14ac:dyDescent="0.25" r="256" customHeight="1" ht="18.75">
      <c r="A256" s="4" t="s">
        <v>19</v>
      </c>
      <c r="B256" s="4" t="s">
        <v>63</v>
      </c>
      <c r="C256" s="4" t="s">
        <v>64</v>
      </c>
      <c r="D256" s="4" t="s">
        <v>82</v>
      </c>
      <c r="E256" s="5">
        <v>100</v>
      </c>
      <c r="F256" s="5">
        <v>300</v>
      </c>
      <c r="G256" s="5">
        <v>200</v>
      </c>
      <c r="H256" s="6">
        <v>0.6666666666666666</v>
      </c>
      <c r="I256" s="5">
        <v>250</v>
      </c>
      <c r="J256" s="5">
        <v>75000</v>
      </c>
      <c r="K256" s="5">
        <v>50000</v>
      </c>
    </row>
    <row x14ac:dyDescent="0.25" r="257" customHeight="1" ht="18.75">
      <c r="A257" s="7" t="s">
        <v>19</v>
      </c>
      <c r="B257" s="7" t="s">
        <v>63</v>
      </c>
      <c r="C257" s="7" t="s">
        <v>64</v>
      </c>
      <c r="D257" s="7" t="s">
        <v>76</v>
      </c>
      <c r="E257" s="8">
        <v>0</v>
      </c>
      <c r="F257" s="8">
        <v>125</v>
      </c>
      <c r="G257" s="8">
        <v>125</v>
      </c>
      <c r="H257" s="9">
        <v>1</v>
      </c>
      <c r="I257" s="8">
        <v>180</v>
      </c>
      <c r="J257" s="8">
        <v>22500</v>
      </c>
      <c r="K257" s="8">
        <v>22500</v>
      </c>
    </row>
    <row x14ac:dyDescent="0.25" r="258" customHeight="1" ht="18.75">
      <c r="A258" s="4" t="s">
        <v>19</v>
      </c>
      <c r="B258" s="4" t="s">
        <v>63</v>
      </c>
      <c r="C258" s="4" t="s">
        <v>64</v>
      </c>
      <c r="D258" s="4" t="s">
        <v>83</v>
      </c>
      <c r="E258" s="5">
        <v>0</v>
      </c>
      <c r="F258" s="5">
        <v>125</v>
      </c>
      <c r="G258" s="5">
        <v>125</v>
      </c>
      <c r="H258" s="6">
        <v>1</v>
      </c>
      <c r="I258" s="5">
        <v>150</v>
      </c>
      <c r="J258" s="5">
        <v>18750</v>
      </c>
      <c r="K258" s="5">
        <v>18750</v>
      </c>
    </row>
    <row x14ac:dyDescent="0.25" r="259" customHeight="1" ht="18.75">
      <c r="A259" s="7" t="s">
        <v>20</v>
      </c>
      <c r="B259" s="7" t="s">
        <v>65</v>
      </c>
      <c r="C259" s="7" t="s">
        <v>47</v>
      </c>
      <c r="D259" s="7" t="s">
        <v>75</v>
      </c>
      <c r="E259" s="8">
        <v>187</v>
      </c>
      <c r="F259" s="8">
        <v>234</v>
      </c>
      <c r="G259" s="8">
        <v>47</v>
      </c>
      <c r="H259" s="9">
        <v>0.2008547008547009</v>
      </c>
      <c r="I259" s="8">
        <v>275</v>
      </c>
      <c r="J259" s="8">
        <v>64350</v>
      </c>
      <c r="K259" s="8">
        <v>12925</v>
      </c>
    </row>
    <row x14ac:dyDescent="0.25" r="260" customHeight="1" ht="18.75">
      <c r="A260" s="4" t="s">
        <v>20</v>
      </c>
      <c r="B260" s="4" t="s">
        <v>65</v>
      </c>
      <c r="C260" s="4" t="s">
        <v>47</v>
      </c>
      <c r="D260" s="4" t="s">
        <v>92</v>
      </c>
      <c r="E260" s="5">
        <v>0</v>
      </c>
      <c r="F260" s="5">
        <v>0</v>
      </c>
      <c r="G260" s="5">
        <v>0</v>
      </c>
      <c r="H260" s="6">
        <v>0</v>
      </c>
      <c r="I260" s="5">
        <v>275</v>
      </c>
      <c r="J260" s="5">
        <v>0</v>
      </c>
      <c r="K260" s="5">
        <v>0</v>
      </c>
    </row>
    <row x14ac:dyDescent="0.25" r="261" customHeight="1" ht="18.75">
      <c r="A261" s="7" t="s">
        <v>20</v>
      </c>
      <c r="B261" s="7" t="s">
        <v>65</v>
      </c>
      <c r="C261" s="7" t="s">
        <v>47</v>
      </c>
      <c r="D261" s="7" t="s">
        <v>76</v>
      </c>
      <c r="E261" s="8">
        <v>124</v>
      </c>
      <c r="F261" s="8">
        <v>195</v>
      </c>
      <c r="G261" s="8">
        <v>71</v>
      </c>
      <c r="H261" s="9">
        <v>0.3641025641025641</v>
      </c>
      <c r="I261" s="8">
        <v>210</v>
      </c>
      <c r="J261" s="8">
        <v>40950</v>
      </c>
      <c r="K261" s="8">
        <v>14910</v>
      </c>
    </row>
    <row x14ac:dyDescent="0.25" r="262" customHeight="1" ht="18.75">
      <c r="A262" s="4" t="s">
        <v>20</v>
      </c>
      <c r="B262" s="4" t="s">
        <v>65</v>
      </c>
      <c r="C262" s="4" t="s">
        <v>47</v>
      </c>
      <c r="D262" s="4" t="s">
        <v>77</v>
      </c>
      <c r="E262" s="5">
        <v>0</v>
      </c>
      <c r="F262" s="5">
        <v>41</v>
      </c>
      <c r="G262" s="5">
        <v>41</v>
      </c>
      <c r="H262" s="6">
        <v>1</v>
      </c>
      <c r="I262" s="5">
        <v>150</v>
      </c>
      <c r="J262" s="5">
        <v>6150</v>
      </c>
      <c r="K262" s="5">
        <v>6150</v>
      </c>
    </row>
    <row x14ac:dyDescent="0.25" r="263" customHeight="1" ht="18.75">
      <c r="A263" s="7" t="s">
        <v>20</v>
      </c>
      <c r="B263" s="7" t="s">
        <v>65</v>
      </c>
      <c r="C263" s="7" t="s">
        <v>66</v>
      </c>
      <c r="D263" s="7" t="s">
        <v>75</v>
      </c>
      <c r="E263" s="8">
        <v>183</v>
      </c>
      <c r="F263" s="8">
        <v>234</v>
      </c>
      <c r="G263" s="8">
        <v>51</v>
      </c>
      <c r="H263" s="9">
        <v>0.217948717948718</v>
      </c>
      <c r="I263" s="8">
        <v>275</v>
      </c>
      <c r="J263" s="8">
        <v>64350</v>
      </c>
      <c r="K263" s="8">
        <v>14025</v>
      </c>
    </row>
    <row x14ac:dyDescent="0.25" r="264" customHeight="1" ht="18.75">
      <c r="A264" s="4" t="s">
        <v>20</v>
      </c>
      <c r="B264" s="4" t="s">
        <v>65</v>
      </c>
      <c r="C264" s="4" t="s">
        <v>66</v>
      </c>
      <c r="D264" s="4" t="s">
        <v>92</v>
      </c>
      <c r="E264" s="5">
        <v>0</v>
      </c>
      <c r="F264" s="5">
        <v>0</v>
      </c>
      <c r="G264" s="5">
        <v>0</v>
      </c>
      <c r="H264" s="6">
        <v>0</v>
      </c>
      <c r="I264" s="5">
        <v>275</v>
      </c>
      <c r="J264" s="5">
        <v>0</v>
      </c>
      <c r="K264" s="5">
        <v>0</v>
      </c>
    </row>
    <row x14ac:dyDescent="0.25" r="265" customHeight="1" ht="18.75">
      <c r="A265" s="7" t="s">
        <v>20</v>
      </c>
      <c r="B265" s="7" t="s">
        <v>65</v>
      </c>
      <c r="C265" s="7" t="s">
        <v>66</v>
      </c>
      <c r="D265" s="7" t="s">
        <v>76</v>
      </c>
      <c r="E265" s="8">
        <v>70</v>
      </c>
      <c r="F265" s="8">
        <v>195</v>
      </c>
      <c r="G265" s="8">
        <v>125</v>
      </c>
      <c r="H265" s="9">
        <v>0.6410256410256411</v>
      </c>
      <c r="I265" s="8">
        <v>210</v>
      </c>
      <c r="J265" s="8">
        <v>40950</v>
      </c>
      <c r="K265" s="8">
        <v>26250</v>
      </c>
    </row>
    <row x14ac:dyDescent="0.25" r="266" customHeight="1" ht="18.75">
      <c r="A266" s="4" t="s">
        <v>20</v>
      </c>
      <c r="B266" s="4" t="s">
        <v>65</v>
      </c>
      <c r="C266" s="4" t="s">
        <v>66</v>
      </c>
      <c r="D266" s="4" t="s">
        <v>77</v>
      </c>
      <c r="E266" s="5">
        <v>0</v>
      </c>
      <c r="F266" s="5">
        <v>41</v>
      </c>
      <c r="G266" s="5">
        <v>41</v>
      </c>
      <c r="H266" s="6">
        <v>1</v>
      </c>
      <c r="I266" s="5">
        <v>150</v>
      </c>
      <c r="J266" s="5">
        <v>6150</v>
      </c>
      <c r="K266" s="5">
        <v>6150</v>
      </c>
    </row>
    <row x14ac:dyDescent="0.25" r="267" customHeight="1" ht="18.75">
      <c r="A267" s="7" t="s">
        <v>20</v>
      </c>
      <c r="B267" s="7" t="s">
        <v>65</v>
      </c>
      <c r="C267" s="7" t="s">
        <v>46</v>
      </c>
      <c r="D267" s="7" t="s">
        <v>75</v>
      </c>
      <c r="E267" s="8">
        <v>194</v>
      </c>
      <c r="F267" s="8">
        <v>234</v>
      </c>
      <c r="G267" s="8">
        <v>40</v>
      </c>
      <c r="H267" s="9">
        <v>0.1709401709401709</v>
      </c>
      <c r="I267" s="8">
        <v>275</v>
      </c>
      <c r="J267" s="8">
        <v>64350</v>
      </c>
      <c r="K267" s="8">
        <v>11000</v>
      </c>
    </row>
    <row x14ac:dyDescent="0.25" r="268" customHeight="1" ht="18.75">
      <c r="A268" s="4" t="s">
        <v>20</v>
      </c>
      <c r="B268" s="4" t="s">
        <v>65</v>
      </c>
      <c r="C268" s="4" t="s">
        <v>46</v>
      </c>
      <c r="D268" s="4" t="s">
        <v>92</v>
      </c>
      <c r="E268" s="5">
        <v>0</v>
      </c>
      <c r="F268" s="5">
        <v>0</v>
      </c>
      <c r="G268" s="5">
        <v>0</v>
      </c>
      <c r="H268" s="6">
        <v>0</v>
      </c>
      <c r="I268" s="5">
        <v>275</v>
      </c>
      <c r="J268" s="5">
        <v>0</v>
      </c>
      <c r="K268" s="5">
        <v>0</v>
      </c>
    </row>
    <row x14ac:dyDescent="0.25" r="269" customHeight="1" ht="18.75">
      <c r="A269" s="7" t="s">
        <v>20</v>
      </c>
      <c r="B269" s="7" t="s">
        <v>65</v>
      </c>
      <c r="C269" s="7" t="s">
        <v>46</v>
      </c>
      <c r="D269" s="7" t="s">
        <v>76</v>
      </c>
      <c r="E269" s="8">
        <v>147</v>
      </c>
      <c r="F269" s="8">
        <v>195</v>
      </c>
      <c r="G269" s="8">
        <v>48</v>
      </c>
      <c r="H269" s="9">
        <v>0.2461538461538462</v>
      </c>
      <c r="I269" s="8">
        <v>210</v>
      </c>
      <c r="J269" s="8">
        <v>40950</v>
      </c>
      <c r="K269" s="8">
        <v>10080</v>
      </c>
    </row>
    <row x14ac:dyDescent="0.25" r="270" customHeight="1" ht="18.75">
      <c r="A270" s="4" t="s">
        <v>20</v>
      </c>
      <c r="B270" s="4" t="s">
        <v>65</v>
      </c>
      <c r="C270" s="4" t="s">
        <v>46</v>
      </c>
      <c r="D270" s="4" t="s">
        <v>77</v>
      </c>
      <c r="E270" s="5">
        <v>0</v>
      </c>
      <c r="F270" s="5">
        <v>41</v>
      </c>
      <c r="G270" s="5">
        <v>41</v>
      </c>
      <c r="H270" s="6">
        <v>1</v>
      </c>
      <c r="I270" s="5">
        <v>150</v>
      </c>
      <c r="J270" s="5">
        <v>6150</v>
      </c>
      <c r="K270" s="5">
        <v>6150</v>
      </c>
    </row>
    <row x14ac:dyDescent="0.25" r="271" customHeight="1" ht="18.75">
      <c r="A271" s="7" t="s">
        <v>20</v>
      </c>
      <c r="B271" s="7" t="s">
        <v>65</v>
      </c>
      <c r="C271" s="7" t="s">
        <v>67</v>
      </c>
      <c r="D271" s="7" t="s">
        <v>75</v>
      </c>
      <c r="E271" s="8">
        <v>190</v>
      </c>
      <c r="F271" s="8">
        <v>234</v>
      </c>
      <c r="G271" s="8">
        <v>44</v>
      </c>
      <c r="H271" s="9">
        <v>0.188034188034188</v>
      </c>
      <c r="I271" s="8">
        <v>275</v>
      </c>
      <c r="J271" s="8">
        <v>64350</v>
      </c>
      <c r="K271" s="8">
        <v>12100</v>
      </c>
    </row>
    <row x14ac:dyDescent="0.25" r="272" customHeight="1" ht="18.75">
      <c r="A272" s="4" t="s">
        <v>20</v>
      </c>
      <c r="B272" s="4" t="s">
        <v>65</v>
      </c>
      <c r="C272" s="4" t="s">
        <v>67</v>
      </c>
      <c r="D272" s="4" t="s">
        <v>92</v>
      </c>
      <c r="E272" s="5">
        <v>0</v>
      </c>
      <c r="F272" s="5">
        <v>0</v>
      </c>
      <c r="G272" s="5">
        <v>0</v>
      </c>
      <c r="H272" s="6">
        <v>0</v>
      </c>
      <c r="I272" s="5">
        <v>275</v>
      </c>
      <c r="J272" s="5">
        <v>0</v>
      </c>
      <c r="K272" s="5">
        <v>0</v>
      </c>
    </row>
    <row x14ac:dyDescent="0.25" r="273" customHeight="1" ht="18.75">
      <c r="A273" s="7" t="s">
        <v>20</v>
      </c>
      <c r="B273" s="7" t="s">
        <v>65</v>
      </c>
      <c r="C273" s="7" t="s">
        <v>67</v>
      </c>
      <c r="D273" s="7" t="s">
        <v>76</v>
      </c>
      <c r="E273" s="8">
        <v>134</v>
      </c>
      <c r="F273" s="8">
        <v>195</v>
      </c>
      <c r="G273" s="8">
        <v>61</v>
      </c>
      <c r="H273" s="9">
        <v>0.3128205128205128</v>
      </c>
      <c r="I273" s="8">
        <v>210</v>
      </c>
      <c r="J273" s="8">
        <v>40950</v>
      </c>
      <c r="K273" s="8">
        <v>12810</v>
      </c>
    </row>
    <row x14ac:dyDescent="0.25" r="274" customHeight="1" ht="18.75">
      <c r="A274" s="4" t="s">
        <v>20</v>
      </c>
      <c r="B274" s="4" t="s">
        <v>65</v>
      </c>
      <c r="C274" s="4" t="s">
        <v>67</v>
      </c>
      <c r="D274" s="4" t="s">
        <v>77</v>
      </c>
      <c r="E274" s="5">
        <v>0</v>
      </c>
      <c r="F274" s="5">
        <v>41</v>
      </c>
      <c r="G274" s="5">
        <v>41</v>
      </c>
      <c r="H274" s="6">
        <v>1</v>
      </c>
      <c r="I274" s="5">
        <v>150</v>
      </c>
      <c r="J274" s="5">
        <v>6150</v>
      </c>
      <c r="K274" s="5">
        <v>6150</v>
      </c>
    </row>
    <row x14ac:dyDescent="0.25" r="275" customHeight="1" ht="18.75">
      <c r="A275" s="7" t="s">
        <v>20</v>
      </c>
      <c r="B275" s="7" t="s">
        <v>65</v>
      </c>
      <c r="C275" s="7" t="s">
        <v>49</v>
      </c>
      <c r="D275" s="7" t="s">
        <v>75</v>
      </c>
      <c r="E275" s="8">
        <v>179</v>
      </c>
      <c r="F275" s="8">
        <v>234</v>
      </c>
      <c r="G275" s="8">
        <v>55</v>
      </c>
      <c r="H275" s="9">
        <v>0.235042735042735</v>
      </c>
      <c r="I275" s="8">
        <v>275</v>
      </c>
      <c r="J275" s="8">
        <v>64350</v>
      </c>
      <c r="K275" s="8">
        <v>15125</v>
      </c>
    </row>
    <row x14ac:dyDescent="0.25" r="276" customHeight="1" ht="18.75">
      <c r="A276" s="4" t="s">
        <v>20</v>
      </c>
      <c r="B276" s="4" t="s">
        <v>65</v>
      </c>
      <c r="C276" s="4" t="s">
        <v>49</v>
      </c>
      <c r="D276" s="4" t="s">
        <v>92</v>
      </c>
      <c r="E276" s="5">
        <v>0</v>
      </c>
      <c r="F276" s="5">
        <v>0</v>
      </c>
      <c r="G276" s="5">
        <v>0</v>
      </c>
      <c r="H276" s="6">
        <v>0</v>
      </c>
      <c r="I276" s="5">
        <v>275</v>
      </c>
      <c r="J276" s="5">
        <v>0</v>
      </c>
      <c r="K276" s="5">
        <v>0</v>
      </c>
    </row>
    <row x14ac:dyDescent="0.25" r="277" customHeight="1" ht="18.75">
      <c r="A277" s="7" t="s">
        <v>20</v>
      </c>
      <c r="B277" s="7" t="s">
        <v>65</v>
      </c>
      <c r="C277" s="7" t="s">
        <v>49</v>
      </c>
      <c r="D277" s="7" t="s">
        <v>76</v>
      </c>
      <c r="E277" s="8">
        <v>138</v>
      </c>
      <c r="F277" s="8">
        <v>195</v>
      </c>
      <c r="G277" s="8">
        <v>57</v>
      </c>
      <c r="H277" s="9">
        <v>0.2923076923076923</v>
      </c>
      <c r="I277" s="8">
        <v>210</v>
      </c>
      <c r="J277" s="8">
        <v>40950</v>
      </c>
      <c r="K277" s="8">
        <v>11970</v>
      </c>
    </row>
    <row x14ac:dyDescent="0.25" r="278" customHeight="1" ht="18.75">
      <c r="A278" s="4" t="s">
        <v>20</v>
      </c>
      <c r="B278" s="4" t="s">
        <v>65</v>
      </c>
      <c r="C278" s="4" t="s">
        <v>49</v>
      </c>
      <c r="D278" s="4" t="s">
        <v>77</v>
      </c>
      <c r="E278" s="5">
        <v>0</v>
      </c>
      <c r="F278" s="5">
        <v>41</v>
      </c>
      <c r="G278" s="5">
        <v>41</v>
      </c>
      <c r="H278" s="6">
        <v>1</v>
      </c>
      <c r="I278" s="5">
        <v>150</v>
      </c>
      <c r="J278" s="5">
        <v>6150</v>
      </c>
      <c r="K278" s="5">
        <v>6150</v>
      </c>
    </row>
    <row x14ac:dyDescent="0.25" r="279" customHeight="1" ht="18.75">
      <c r="A279" s="10" t="s">
        <v>21</v>
      </c>
      <c r="B279" s="10"/>
      <c r="C279" s="10"/>
      <c r="D279" s="10"/>
      <c r="E279" s="11">
        <f>SUM(E2:E278)</f>
      </c>
      <c r="F279" s="11">
        <f>SUM(F2:F278)</f>
      </c>
      <c r="G279" s="11">
        <f>SUM(G2:G278)</f>
      </c>
      <c r="H279" s="12"/>
      <c r="I279" s="11">
        <f>SUM(I2:I278)</f>
      </c>
      <c r="J279" s="11">
        <f>SUM(J2:J278)</f>
      </c>
      <c r="K279" s="11">
        <f>SUM(K2:K278)</f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83"/>
  <sheetViews>
    <sheetView workbookViewId="0" tabSelected="1"/>
  </sheetViews>
  <sheetFormatPr defaultRowHeight="15" x14ac:dyDescent="0.25"/>
  <cols>
    <col min="1" max="1" style="13" width="25.005" customWidth="1" bestFit="1"/>
    <col min="2" max="2" style="13" width="10.005" customWidth="1" bestFit="1"/>
    <col min="3" max="3" style="13" width="15.005" customWidth="1" bestFit="1"/>
    <col min="4" max="4" style="14" width="18.005" customWidth="1" bestFit="1"/>
    <col min="5" max="5" style="14" width="15.005" customWidth="1" bestFit="1"/>
    <col min="6" max="6" style="14" width="15.005" customWidth="1" bestFit="1"/>
    <col min="7" max="7" style="15" width="15.005" customWidth="1" bestFit="1"/>
    <col min="8" max="8" style="14" width="15.005" customWidth="1" bestFit="1"/>
    <col min="9" max="9" style="14" width="15.005" customWidth="1" bestFit="1"/>
  </cols>
  <sheetData>
    <row x14ac:dyDescent="0.25" r="1" customHeight="1" ht="18.75">
      <c r="A1" s="1" t="s">
        <v>0</v>
      </c>
      <c r="B1" s="1" t="s">
        <v>22</v>
      </c>
      <c r="C1" s="1" t="s">
        <v>23</v>
      </c>
      <c r="D1" s="2" t="s">
        <v>1</v>
      </c>
      <c r="E1" s="2" t="s">
        <v>2</v>
      </c>
      <c r="F1" s="2" t="s">
        <v>3</v>
      </c>
      <c r="G1" s="3" t="s">
        <v>4</v>
      </c>
      <c r="H1" s="2" t="s">
        <v>5</v>
      </c>
      <c r="I1" s="2" t="s">
        <v>6</v>
      </c>
    </row>
    <row x14ac:dyDescent="0.25" r="2" customHeight="1" ht="18.75">
      <c r="A2" s="4" t="s">
        <v>7</v>
      </c>
      <c r="B2" s="4" t="s">
        <v>24</v>
      </c>
      <c r="C2" s="4" t="s">
        <v>25</v>
      </c>
      <c r="D2" s="5">
        <v>76</v>
      </c>
      <c r="E2" s="5">
        <v>842</v>
      </c>
      <c r="F2" s="5">
        <v>766</v>
      </c>
      <c r="G2" s="6">
        <v>0.9097387173396675</v>
      </c>
      <c r="H2" s="5">
        <v>193860</v>
      </c>
      <c r="I2" s="5">
        <v>182275</v>
      </c>
    </row>
    <row x14ac:dyDescent="0.25" r="3" customHeight="1" ht="18.75">
      <c r="A3" s="7" t="s">
        <v>7</v>
      </c>
      <c r="B3" s="7" t="s">
        <v>24</v>
      </c>
      <c r="C3" s="7" t="s">
        <v>26</v>
      </c>
      <c r="D3" s="8">
        <v>88</v>
      </c>
      <c r="E3" s="8">
        <v>842</v>
      </c>
      <c r="F3" s="8">
        <v>754</v>
      </c>
      <c r="G3" s="9">
        <v>0.8954869358669834</v>
      </c>
      <c r="H3" s="8">
        <v>193860</v>
      </c>
      <c r="I3" s="8">
        <v>180475</v>
      </c>
    </row>
    <row x14ac:dyDescent="0.25" r="4" customHeight="1" ht="18.75">
      <c r="A4" s="4" t="s">
        <v>7</v>
      </c>
      <c r="B4" s="4" t="s">
        <v>24</v>
      </c>
      <c r="C4" s="4" t="s">
        <v>27</v>
      </c>
      <c r="D4" s="5">
        <v>0</v>
      </c>
      <c r="E4" s="5">
        <v>842</v>
      </c>
      <c r="F4" s="5">
        <v>842</v>
      </c>
      <c r="G4" s="6">
        <v>1</v>
      </c>
      <c r="H4" s="5">
        <v>193860</v>
      </c>
      <c r="I4" s="5">
        <v>193860</v>
      </c>
    </row>
    <row x14ac:dyDescent="0.25" r="5" customHeight="1" ht="18.75">
      <c r="A5" s="7" t="s">
        <v>7</v>
      </c>
      <c r="B5" s="7" t="s">
        <v>24</v>
      </c>
      <c r="C5" s="7" t="s">
        <v>28</v>
      </c>
      <c r="D5" s="8">
        <v>0</v>
      </c>
      <c r="E5" s="8">
        <v>842</v>
      </c>
      <c r="F5" s="8">
        <v>842</v>
      </c>
      <c r="G5" s="9">
        <v>1</v>
      </c>
      <c r="H5" s="8">
        <v>193860</v>
      </c>
      <c r="I5" s="8">
        <v>193860</v>
      </c>
    </row>
    <row x14ac:dyDescent="0.25" r="6" customHeight="1" ht="18.75">
      <c r="A6" s="4" t="s">
        <v>7</v>
      </c>
      <c r="B6" s="4" t="s">
        <v>24</v>
      </c>
      <c r="C6" s="4" t="s">
        <v>29</v>
      </c>
      <c r="D6" s="5">
        <v>1</v>
      </c>
      <c r="E6" s="5">
        <v>842</v>
      </c>
      <c r="F6" s="5">
        <v>841</v>
      </c>
      <c r="G6" s="6">
        <v>0.998812351543943</v>
      </c>
      <c r="H6" s="5">
        <v>193860</v>
      </c>
      <c r="I6" s="5">
        <v>193710</v>
      </c>
    </row>
    <row x14ac:dyDescent="0.25" r="7" customHeight="1" ht="18.75">
      <c r="A7" s="7" t="s">
        <v>7</v>
      </c>
      <c r="B7" s="7" t="s">
        <v>24</v>
      </c>
      <c r="C7" s="7" t="s">
        <v>30</v>
      </c>
      <c r="D7" s="8">
        <v>43</v>
      </c>
      <c r="E7" s="8">
        <v>842</v>
      </c>
      <c r="F7" s="8">
        <v>799</v>
      </c>
      <c r="G7" s="9">
        <v>0.9489311163895487</v>
      </c>
      <c r="H7" s="8">
        <v>193860</v>
      </c>
      <c r="I7" s="8">
        <v>187225</v>
      </c>
    </row>
    <row x14ac:dyDescent="0.25" r="8" customHeight="1" ht="18.75">
      <c r="A8" s="4" t="s">
        <v>8</v>
      </c>
      <c r="B8" s="4" t="s">
        <v>31</v>
      </c>
      <c r="C8" s="4" t="s">
        <v>32</v>
      </c>
      <c r="D8" s="5">
        <v>685</v>
      </c>
      <c r="E8" s="5">
        <v>989</v>
      </c>
      <c r="F8" s="5">
        <v>304</v>
      </c>
      <c r="G8" s="6">
        <v>0.3073811931243681</v>
      </c>
      <c r="H8" s="5">
        <v>223025</v>
      </c>
      <c r="I8" s="5">
        <v>69020</v>
      </c>
    </row>
    <row x14ac:dyDescent="0.25" r="9" customHeight="1" ht="18.75">
      <c r="A9" s="7" t="s">
        <v>8</v>
      </c>
      <c r="B9" s="7" t="s">
        <v>31</v>
      </c>
      <c r="C9" s="7" t="s">
        <v>33</v>
      </c>
      <c r="D9" s="8">
        <v>539</v>
      </c>
      <c r="E9" s="8">
        <v>989</v>
      </c>
      <c r="F9" s="8">
        <v>450</v>
      </c>
      <c r="G9" s="9">
        <v>0.455005055611729</v>
      </c>
      <c r="H9" s="8">
        <v>223025</v>
      </c>
      <c r="I9" s="8">
        <v>105555</v>
      </c>
    </row>
    <row x14ac:dyDescent="0.25" r="10" customHeight="1" ht="18.75">
      <c r="A10" s="4" t="s">
        <v>8</v>
      </c>
      <c r="B10" s="4" t="s">
        <v>31</v>
      </c>
      <c r="C10" s="4" t="s">
        <v>27</v>
      </c>
      <c r="D10" s="5">
        <v>48</v>
      </c>
      <c r="E10" s="5">
        <v>989</v>
      </c>
      <c r="F10" s="5">
        <v>941</v>
      </c>
      <c r="G10" s="6">
        <v>0.9514661274014156</v>
      </c>
      <c r="H10" s="5">
        <v>223025</v>
      </c>
      <c r="I10" s="5">
        <v>215825</v>
      </c>
    </row>
    <row x14ac:dyDescent="0.25" r="11" customHeight="1" ht="18.75">
      <c r="A11" s="7" t="s">
        <v>8</v>
      </c>
      <c r="B11" s="7" t="s">
        <v>31</v>
      </c>
      <c r="C11" s="7" t="s">
        <v>34</v>
      </c>
      <c r="D11" s="8">
        <v>769</v>
      </c>
      <c r="E11" s="8">
        <v>989</v>
      </c>
      <c r="F11" s="8">
        <v>220</v>
      </c>
      <c r="G11" s="9">
        <v>0.2224469160768453</v>
      </c>
      <c r="H11" s="8">
        <v>223025</v>
      </c>
      <c r="I11" s="8">
        <v>48615</v>
      </c>
    </row>
    <row x14ac:dyDescent="0.25" r="12" customHeight="1" ht="18.75">
      <c r="A12" s="4" t="s">
        <v>8</v>
      </c>
      <c r="B12" s="4" t="s">
        <v>31</v>
      </c>
      <c r="C12" s="4" t="s">
        <v>35</v>
      </c>
      <c r="D12" s="5">
        <v>761</v>
      </c>
      <c r="E12" s="5">
        <v>989</v>
      </c>
      <c r="F12" s="5">
        <v>228</v>
      </c>
      <c r="G12" s="6">
        <v>0.230535894843276</v>
      </c>
      <c r="H12" s="5">
        <v>223025</v>
      </c>
      <c r="I12" s="5">
        <v>50820</v>
      </c>
    </row>
    <row x14ac:dyDescent="0.25" r="13" customHeight="1" ht="18.75">
      <c r="A13" s="7" t="s">
        <v>8</v>
      </c>
      <c r="B13" s="7" t="s">
        <v>31</v>
      </c>
      <c r="C13" s="7" t="s">
        <v>36</v>
      </c>
      <c r="D13" s="8">
        <v>808</v>
      </c>
      <c r="E13" s="8">
        <v>989</v>
      </c>
      <c r="F13" s="8">
        <v>181</v>
      </c>
      <c r="G13" s="9">
        <v>0.1830131445904954</v>
      </c>
      <c r="H13" s="8">
        <v>223025</v>
      </c>
      <c r="I13" s="8">
        <v>39370</v>
      </c>
    </row>
    <row x14ac:dyDescent="0.25" r="14" customHeight="1" ht="18.75">
      <c r="A14" s="4" t="s">
        <v>9</v>
      </c>
      <c r="B14" s="4" t="s">
        <v>37</v>
      </c>
      <c r="C14" s="4" t="s">
        <v>26</v>
      </c>
      <c r="D14" s="5">
        <v>433</v>
      </c>
      <c r="E14" s="5">
        <v>626</v>
      </c>
      <c r="F14" s="5">
        <v>193</v>
      </c>
      <c r="G14" s="6">
        <v>0.3083067092651757</v>
      </c>
      <c r="H14" s="5">
        <v>149385</v>
      </c>
      <c r="I14" s="5">
        <v>51595</v>
      </c>
    </row>
    <row x14ac:dyDescent="0.25" r="15" customHeight="1" ht="18.75">
      <c r="A15" s="7" t="s">
        <v>9</v>
      </c>
      <c r="B15" s="7" t="s">
        <v>37</v>
      </c>
      <c r="C15" s="7" t="s">
        <v>28</v>
      </c>
      <c r="D15" s="8">
        <v>322</v>
      </c>
      <c r="E15" s="8">
        <v>626</v>
      </c>
      <c r="F15" s="8">
        <v>304</v>
      </c>
      <c r="G15" s="9">
        <v>0.4856230031948882</v>
      </c>
      <c r="H15" s="8">
        <v>149385</v>
      </c>
      <c r="I15" s="8">
        <v>78690</v>
      </c>
    </row>
    <row x14ac:dyDescent="0.25" r="16" customHeight="1" ht="18.75">
      <c r="A16" s="4" t="s">
        <v>9</v>
      </c>
      <c r="B16" s="4" t="s">
        <v>37</v>
      </c>
      <c r="C16" s="4" t="s">
        <v>30</v>
      </c>
      <c r="D16" s="5">
        <v>345</v>
      </c>
      <c r="E16" s="5">
        <v>626</v>
      </c>
      <c r="F16" s="5">
        <v>281</v>
      </c>
      <c r="G16" s="6">
        <v>0.4488817891373802</v>
      </c>
      <c r="H16" s="5">
        <v>149385</v>
      </c>
      <c r="I16" s="5">
        <v>73215</v>
      </c>
    </row>
    <row x14ac:dyDescent="0.25" r="17" customHeight="1" ht="18.75">
      <c r="A17" s="7" t="s">
        <v>9</v>
      </c>
      <c r="B17" s="7" t="s">
        <v>37</v>
      </c>
      <c r="C17" s="7" t="s">
        <v>29</v>
      </c>
      <c r="D17" s="8">
        <v>221</v>
      </c>
      <c r="E17" s="8">
        <v>626</v>
      </c>
      <c r="F17" s="8">
        <v>405</v>
      </c>
      <c r="G17" s="9">
        <v>0.646964856230032</v>
      </c>
      <c r="H17" s="8">
        <v>149385</v>
      </c>
      <c r="I17" s="8">
        <v>102990</v>
      </c>
    </row>
    <row x14ac:dyDescent="0.25" r="18" customHeight="1" ht="18.75">
      <c r="A18" s="4" t="s">
        <v>9</v>
      </c>
      <c r="B18" s="4" t="s">
        <v>37</v>
      </c>
      <c r="C18" s="4" t="s">
        <v>27</v>
      </c>
      <c r="D18" s="5">
        <v>33</v>
      </c>
      <c r="E18" s="5">
        <v>626</v>
      </c>
      <c r="F18" s="5">
        <v>593</v>
      </c>
      <c r="G18" s="6">
        <v>0.9472843450479234</v>
      </c>
      <c r="H18" s="5">
        <v>149385</v>
      </c>
      <c r="I18" s="5">
        <v>144435</v>
      </c>
    </row>
    <row x14ac:dyDescent="0.25" r="19" customHeight="1" ht="18.75">
      <c r="A19" s="7" t="s">
        <v>9</v>
      </c>
      <c r="B19" s="7" t="s">
        <v>37</v>
      </c>
      <c r="C19" s="7" t="s">
        <v>25</v>
      </c>
      <c r="D19" s="8">
        <v>391</v>
      </c>
      <c r="E19" s="8">
        <v>626</v>
      </c>
      <c r="F19" s="8">
        <v>235</v>
      </c>
      <c r="G19" s="9">
        <v>0.3753993610223642</v>
      </c>
      <c r="H19" s="8">
        <v>149385</v>
      </c>
      <c r="I19" s="8">
        <v>61615</v>
      </c>
    </row>
    <row x14ac:dyDescent="0.25" r="20" customHeight="1" ht="18.75">
      <c r="A20" s="4" t="s">
        <v>10</v>
      </c>
      <c r="B20" s="4" t="s">
        <v>38</v>
      </c>
      <c r="C20" s="4" t="s">
        <v>39</v>
      </c>
      <c r="D20" s="5">
        <v>231</v>
      </c>
      <c r="E20" s="5">
        <v>503</v>
      </c>
      <c r="F20" s="5">
        <v>272</v>
      </c>
      <c r="G20" s="6">
        <v>0.5407554671968191</v>
      </c>
      <c r="H20" s="5">
        <v>121795</v>
      </c>
      <c r="I20" s="5">
        <v>66405</v>
      </c>
    </row>
    <row x14ac:dyDescent="0.25" r="21" customHeight="1" ht="18.75">
      <c r="A21" s="7" t="s">
        <v>10</v>
      </c>
      <c r="B21" s="7" t="s">
        <v>38</v>
      </c>
      <c r="C21" s="7" t="s">
        <v>40</v>
      </c>
      <c r="D21" s="8">
        <v>182</v>
      </c>
      <c r="E21" s="8">
        <v>503</v>
      </c>
      <c r="F21" s="8">
        <v>321</v>
      </c>
      <c r="G21" s="9">
        <v>0.6381709741550696</v>
      </c>
      <c r="H21" s="8">
        <v>121795</v>
      </c>
      <c r="I21" s="8">
        <v>78630</v>
      </c>
    </row>
    <row x14ac:dyDescent="0.25" r="22" customHeight="1" ht="18.75">
      <c r="A22" s="4" t="s">
        <v>10</v>
      </c>
      <c r="B22" s="4" t="s">
        <v>38</v>
      </c>
      <c r="C22" s="4" t="s">
        <v>36</v>
      </c>
      <c r="D22" s="5">
        <v>246</v>
      </c>
      <c r="E22" s="5">
        <v>503</v>
      </c>
      <c r="F22" s="5">
        <v>257</v>
      </c>
      <c r="G22" s="6">
        <v>0.510934393638171</v>
      </c>
      <c r="H22" s="5">
        <v>121795</v>
      </c>
      <c r="I22" s="5">
        <v>64820</v>
      </c>
    </row>
    <row x14ac:dyDescent="0.25" r="23" customHeight="1" ht="18.75">
      <c r="A23" s="7" t="s">
        <v>10</v>
      </c>
      <c r="B23" s="7" t="s">
        <v>38</v>
      </c>
      <c r="C23" s="7" t="s">
        <v>41</v>
      </c>
      <c r="D23" s="8">
        <v>201</v>
      </c>
      <c r="E23" s="8">
        <v>503</v>
      </c>
      <c r="F23" s="8">
        <v>302</v>
      </c>
      <c r="G23" s="9">
        <v>0.6003976143141153</v>
      </c>
      <c r="H23" s="8">
        <v>121795</v>
      </c>
      <c r="I23" s="8">
        <v>73975</v>
      </c>
    </row>
    <row x14ac:dyDescent="0.25" r="24" customHeight="1" ht="18.75">
      <c r="A24" s="4" t="s">
        <v>10</v>
      </c>
      <c r="B24" s="4" t="s">
        <v>38</v>
      </c>
      <c r="C24" s="4" t="s">
        <v>42</v>
      </c>
      <c r="D24" s="5">
        <v>183</v>
      </c>
      <c r="E24" s="5">
        <v>503</v>
      </c>
      <c r="F24" s="5">
        <v>320</v>
      </c>
      <c r="G24" s="6">
        <v>0.6361829025844931</v>
      </c>
      <c r="H24" s="5">
        <v>121795</v>
      </c>
      <c r="I24" s="5">
        <v>79775</v>
      </c>
    </row>
    <row x14ac:dyDescent="0.25" r="25" customHeight="1" ht="18.75">
      <c r="A25" s="7" t="s">
        <v>10</v>
      </c>
      <c r="B25" s="7" t="s">
        <v>38</v>
      </c>
      <c r="C25" s="7" t="s">
        <v>43</v>
      </c>
      <c r="D25" s="8">
        <v>7</v>
      </c>
      <c r="E25" s="8">
        <v>416</v>
      </c>
      <c r="F25" s="8">
        <v>409</v>
      </c>
      <c r="G25" s="9">
        <v>0.9831730769230769</v>
      </c>
      <c r="H25" s="8">
        <v>99430</v>
      </c>
      <c r="I25" s="8">
        <v>97945</v>
      </c>
    </row>
    <row x14ac:dyDescent="0.25" r="26" customHeight="1" ht="18.75">
      <c r="A26" s="4" t="s">
        <v>11</v>
      </c>
      <c r="B26" s="4" t="s">
        <v>44</v>
      </c>
      <c r="C26" s="4" t="s">
        <v>36</v>
      </c>
      <c r="D26" s="5">
        <v>20</v>
      </c>
      <c r="E26" s="5">
        <v>845</v>
      </c>
      <c r="F26" s="5">
        <v>825</v>
      </c>
      <c r="G26" s="6">
        <v>0.9763313609467456</v>
      </c>
      <c r="H26" s="5">
        <v>204690</v>
      </c>
      <c r="I26" s="5">
        <v>200570</v>
      </c>
    </row>
    <row x14ac:dyDescent="0.25" r="27" customHeight="1" ht="18.75">
      <c r="A27" s="7" t="s">
        <v>11</v>
      </c>
      <c r="B27" s="7" t="s">
        <v>44</v>
      </c>
      <c r="C27" s="7" t="s">
        <v>34</v>
      </c>
      <c r="D27" s="8">
        <v>27</v>
      </c>
      <c r="E27" s="8">
        <v>845</v>
      </c>
      <c r="F27" s="8">
        <v>818</v>
      </c>
      <c r="G27" s="9">
        <v>0.9680473372781065</v>
      </c>
      <c r="H27" s="8">
        <v>204690</v>
      </c>
      <c r="I27" s="8">
        <v>200270</v>
      </c>
    </row>
    <row x14ac:dyDescent="0.25" r="28" customHeight="1" ht="18.75">
      <c r="A28" s="4" t="s">
        <v>11</v>
      </c>
      <c r="B28" s="4" t="s">
        <v>44</v>
      </c>
      <c r="C28" s="4" t="s">
        <v>33</v>
      </c>
      <c r="D28" s="5">
        <v>0</v>
      </c>
      <c r="E28" s="5">
        <v>845</v>
      </c>
      <c r="F28" s="5">
        <v>845</v>
      </c>
      <c r="G28" s="6">
        <v>1</v>
      </c>
      <c r="H28" s="5">
        <v>204690</v>
      </c>
      <c r="I28" s="5">
        <v>204690</v>
      </c>
    </row>
    <row x14ac:dyDescent="0.25" r="29" customHeight="1" ht="18.75">
      <c r="A29" s="7" t="s">
        <v>11</v>
      </c>
      <c r="B29" s="7" t="s">
        <v>44</v>
      </c>
      <c r="C29" s="7" t="s">
        <v>27</v>
      </c>
      <c r="D29" s="8">
        <v>0</v>
      </c>
      <c r="E29" s="8">
        <v>845</v>
      </c>
      <c r="F29" s="8">
        <v>845</v>
      </c>
      <c r="G29" s="9">
        <v>1</v>
      </c>
      <c r="H29" s="8">
        <v>204690</v>
      </c>
      <c r="I29" s="8">
        <v>204690</v>
      </c>
    </row>
    <row x14ac:dyDescent="0.25" r="30" customHeight="1" ht="18.75">
      <c r="A30" s="4" t="s">
        <v>11</v>
      </c>
      <c r="B30" s="4" t="s">
        <v>44</v>
      </c>
      <c r="C30" s="4" t="s">
        <v>32</v>
      </c>
      <c r="D30" s="5">
        <v>37</v>
      </c>
      <c r="E30" s="5">
        <v>845</v>
      </c>
      <c r="F30" s="5">
        <v>808</v>
      </c>
      <c r="G30" s="6">
        <v>0.9562130177514793</v>
      </c>
      <c r="H30" s="5">
        <v>204690</v>
      </c>
      <c r="I30" s="5">
        <v>194645</v>
      </c>
    </row>
    <row x14ac:dyDescent="0.25" r="31" customHeight="1" ht="18.75">
      <c r="A31" s="7" t="s">
        <v>11</v>
      </c>
      <c r="B31" s="7" t="s">
        <v>44</v>
      </c>
      <c r="C31" s="7" t="s">
        <v>35</v>
      </c>
      <c r="D31" s="8">
        <v>5</v>
      </c>
      <c r="E31" s="8">
        <v>845</v>
      </c>
      <c r="F31" s="8">
        <v>840</v>
      </c>
      <c r="G31" s="9">
        <v>0.9940828402366864</v>
      </c>
      <c r="H31" s="8">
        <v>204690</v>
      </c>
      <c r="I31" s="8">
        <v>203445</v>
      </c>
    </row>
    <row x14ac:dyDescent="0.25" r="32" customHeight="1" ht="18.75">
      <c r="A32" s="4" t="s">
        <v>12</v>
      </c>
      <c r="B32" s="4" t="s">
        <v>45</v>
      </c>
      <c r="C32" s="4" t="s">
        <v>28</v>
      </c>
      <c r="D32" s="5">
        <v>24</v>
      </c>
      <c r="E32" s="5">
        <v>1055</v>
      </c>
      <c r="F32" s="5">
        <v>1031</v>
      </c>
      <c r="G32" s="6">
        <v>0.9772511848341232</v>
      </c>
      <c r="H32" s="5">
        <v>253205</v>
      </c>
      <c r="I32" s="5">
        <v>249295</v>
      </c>
    </row>
    <row x14ac:dyDescent="0.25" r="33" customHeight="1" ht="18.75">
      <c r="A33" s="7" t="s">
        <v>12</v>
      </c>
      <c r="B33" s="7" t="s">
        <v>45</v>
      </c>
      <c r="C33" s="7" t="s">
        <v>29</v>
      </c>
      <c r="D33" s="8">
        <v>0</v>
      </c>
      <c r="E33" s="8">
        <v>1055</v>
      </c>
      <c r="F33" s="8">
        <v>1055</v>
      </c>
      <c r="G33" s="9">
        <v>1</v>
      </c>
      <c r="H33" s="8">
        <v>253205</v>
      </c>
      <c r="I33" s="8">
        <v>253205</v>
      </c>
    </row>
    <row x14ac:dyDescent="0.25" r="34" customHeight="1" ht="18.75">
      <c r="A34" s="4" t="s">
        <v>12</v>
      </c>
      <c r="B34" s="4" t="s">
        <v>45</v>
      </c>
      <c r="C34" s="4" t="s">
        <v>25</v>
      </c>
      <c r="D34" s="5">
        <v>171</v>
      </c>
      <c r="E34" s="5">
        <v>1055</v>
      </c>
      <c r="F34" s="5">
        <v>884</v>
      </c>
      <c r="G34" s="6">
        <v>0.837914691943128</v>
      </c>
      <c r="H34" s="5">
        <v>253205</v>
      </c>
      <c r="I34" s="5">
        <v>217890</v>
      </c>
    </row>
    <row x14ac:dyDescent="0.25" r="35" customHeight="1" ht="18.75">
      <c r="A35" s="7" t="s">
        <v>12</v>
      </c>
      <c r="B35" s="7" t="s">
        <v>45</v>
      </c>
      <c r="C35" s="7" t="s">
        <v>46</v>
      </c>
      <c r="D35" s="8">
        <v>213</v>
      </c>
      <c r="E35" s="8">
        <v>1055</v>
      </c>
      <c r="F35" s="8">
        <v>842</v>
      </c>
      <c r="G35" s="9">
        <v>0.7981042654028436</v>
      </c>
      <c r="H35" s="8">
        <v>253205</v>
      </c>
      <c r="I35" s="8">
        <v>207880</v>
      </c>
    </row>
    <row x14ac:dyDescent="0.25" r="36" customHeight="1" ht="18.75">
      <c r="A36" s="4" t="s">
        <v>12</v>
      </c>
      <c r="B36" s="4" t="s">
        <v>45</v>
      </c>
      <c r="C36" s="4" t="s">
        <v>47</v>
      </c>
      <c r="D36" s="5">
        <v>99</v>
      </c>
      <c r="E36" s="5">
        <v>1055</v>
      </c>
      <c r="F36" s="5">
        <v>956</v>
      </c>
      <c r="G36" s="6">
        <v>0.9061611374407583</v>
      </c>
      <c r="H36" s="5">
        <v>253205</v>
      </c>
      <c r="I36" s="5">
        <v>233750</v>
      </c>
    </row>
    <row x14ac:dyDescent="0.25" r="37" customHeight="1" ht="18.75">
      <c r="A37" s="7" t="s">
        <v>13</v>
      </c>
      <c r="B37" s="7" t="s">
        <v>48</v>
      </c>
      <c r="C37" s="7" t="s">
        <v>30</v>
      </c>
      <c r="D37" s="8">
        <v>542</v>
      </c>
      <c r="E37" s="8">
        <v>628</v>
      </c>
      <c r="F37" s="8">
        <v>86</v>
      </c>
      <c r="G37" s="9">
        <v>0.1369426751592357</v>
      </c>
      <c r="H37" s="8">
        <v>149400</v>
      </c>
      <c r="I37" s="8">
        <v>20285</v>
      </c>
    </row>
    <row x14ac:dyDescent="0.25" r="38" customHeight="1" ht="18.75">
      <c r="A38" s="4" t="s">
        <v>13</v>
      </c>
      <c r="B38" s="4" t="s">
        <v>48</v>
      </c>
      <c r="C38" s="4" t="s">
        <v>27</v>
      </c>
      <c r="D38" s="5">
        <v>21</v>
      </c>
      <c r="E38" s="5">
        <v>628</v>
      </c>
      <c r="F38" s="5">
        <v>607</v>
      </c>
      <c r="G38" s="6">
        <v>0.9665605095541401</v>
      </c>
      <c r="H38" s="5">
        <v>149400</v>
      </c>
      <c r="I38" s="5">
        <v>146250</v>
      </c>
    </row>
    <row x14ac:dyDescent="0.25" r="39" customHeight="1" ht="18.75">
      <c r="A39" s="7" t="s">
        <v>13</v>
      </c>
      <c r="B39" s="7" t="s">
        <v>48</v>
      </c>
      <c r="C39" s="7" t="s">
        <v>46</v>
      </c>
      <c r="D39" s="8">
        <v>572</v>
      </c>
      <c r="E39" s="8">
        <v>628</v>
      </c>
      <c r="F39" s="8">
        <v>56</v>
      </c>
      <c r="G39" s="9">
        <v>0.08917197452229299</v>
      </c>
      <c r="H39" s="8">
        <v>149400</v>
      </c>
      <c r="I39" s="8">
        <v>14015</v>
      </c>
    </row>
    <row x14ac:dyDescent="0.25" r="40" customHeight="1" ht="18.75">
      <c r="A40" s="4" t="s">
        <v>13</v>
      </c>
      <c r="B40" s="4" t="s">
        <v>48</v>
      </c>
      <c r="C40" s="4" t="s">
        <v>49</v>
      </c>
      <c r="D40" s="5">
        <v>531</v>
      </c>
      <c r="E40" s="5">
        <v>628</v>
      </c>
      <c r="F40" s="5">
        <v>97</v>
      </c>
      <c r="G40" s="6">
        <v>0.1544585987261146</v>
      </c>
      <c r="H40" s="5">
        <v>149400</v>
      </c>
      <c r="I40" s="5">
        <v>23570</v>
      </c>
    </row>
    <row x14ac:dyDescent="0.25" r="41" customHeight="1" ht="18.75">
      <c r="A41" s="7" t="s">
        <v>13</v>
      </c>
      <c r="B41" s="7" t="s">
        <v>48</v>
      </c>
      <c r="C41" s="7" t="s">
        <v>50</v>
      </c>
      <c r="D41" s="8">
        <v>264</v>
      </c>
      <c r="E41" s="8">
        <v>628</v>
      </c>
      <c r="F41" s="8">
        <v>364</v>
      </c>
      <c r="G41" s="9">
        <v>0.5796178343949044</v>
      </c>
      <c r="H41" s="8">
        <v>149400</v>
      </c>
      <c r="I41" s="8">
        <v>90005</v>
      </c>
    </row>
    <row x14ac:dyDescent="0.25" r="42" customHeight="1" ht="18.75">
      <c r="A42" s="4" t="s">
        <v>13</v>
      </c>
      <c r="B42" s="4" t="s">
        <v>48</v>
      </c>
      <c r="C42" s="4" t="s">
        <v>28</v>
      </c>
      <c r="D42" s="5">
        <v>481</v>
      </c>
      <c r="E42" s="5">
        <v>628</v>
      </c>
      <c r="F42" s="5">
        <v>147</v>
      </c>
      <c r="G42" s="6">
        <v>0.2340764331210191</v>
      </c>
      <c r="H42" s="5">
        <v>149400</v>
      </c>
      <c r="I42" s="5">
        <v>36460</v>
      </c>
    </row>
    <row x14ac:dyDescent="0.25" r="43" customHeight="1" ht="18.75">
      <c r="A43" s="7" t="s">
        <v>14</v>
      </c>
      <c r="B43" s="7" t="s">
        <v>51</v>
      </c>
      <c r="C43" s="7" t="s">
        <v>36</v>
      </c>
      <c r="D43" s="8">
        <v>548</v>
      </c>
      <c r="E43" s="8">
        <v>542</v>
      </c>
      <c r="F43" s="8">
        <v>-6</v>
      </c>
      <c r="G43" s="9">
        <v>-0.01107011070110701</v>
      </c>
      <c r="H43" s="8">
        <v>138020</v>
      </c>
      <c r="I43" s="8">
        <v>12870</v>
      </c>
    </row>
    <row x14ac:dyDescent="0.25" r="44" customHeight="1" ht="18.75">
      <c r="A44" s="4" t="s">
        <v>14</v>
      </c>
      <c r="B44" s="4" t="s">
        <v>51</v>
      </c>
      <c r="C44" s="4" t="s">
        <v>42</v>
      </c>
      <c r="D44" s="5">
        <v>314</v>
      </c>
      <c r="E44" s="5">
        <v>542</v>
      </c>
      <c r="F44" s="5">
        <v>228</v>
      </c>
      <c r="G44" s="6">
        <v>0.4206642066420664</v>
      </c>
      <c r="H44" s="5">
        <v>138020</v>
      </c>
      <c r="I44" s="5">
        <v>70955</v>
      </c>
    </row>
    <row x14ac:dyDescent="0.25" r="45" customHeight="1" ht="18.75">
      <c r="A45" s="7" t="s">
        <v>14</v>
      </c>
      <c r="B45" s="7" t="s">
        <v>51</v>
      </c>
      <c r="C45" s="7" t="s">
        <v>39</v>
      </c>
      <c r="D45" s="8">
        <v>429</v>
      </c>
      <c r="E45" s="8">
        <v>542</v>
      </c>
      <c r="F45" s="8">
        <v>113</v>
      </c>
      <c r="G45" s="9">
        <v>0.2084870848708487</v>
      </c>
      <c r="H45" s="8">
        <v>138020</v>
      </c>
      <c r="I45" s="8">
        <v>42095</v>
      </c>
    </row>
    <row x14ac:dyDescent="0.25" r="46" customHeight="1" ht="18.75">
      <c r="A46" s="4" t="s">
        <v>14</v>
      </c>
      <c r="B46" s="4" t="s">
        <v>51</v>
      </c>
      <c r="C46" s="4" t="s">
        <v>40</v>
      </c>
      <c r="D46" s="5">
        <v>469</v>
      </c>
      <c r="E46" s="5">
        <v>542</v>
      </c>
      <c r="F46" s="5">
        <v>73</v>
      </c>
      <c r="G46" s="6">
        <v>0.1346863468634686</v>
      </c>
      <c r="H46" s="5">
        <v>138020</v>
      </c>
      <c r="I46" s="5">
        <v>34210</v>
      </c>
    </row>
    <row x14ac:dyDescent="0.25" r="47" customHeight="1" ht="18.75">
      <c r="A47" s="7" t="s">
        <v>14</v>
      </c>
      <c r="B47" s="7" t="s">
        <v>51</v>
      </c>
      <c r="C47" s="7" t="s">
        <v>41</v>
      </c>
      <c r="D47" s="8">
        <v>523</v>
      </c>
      <c r="E47" s="8">
        <v>542</v>
      </c>
      <c r="F47" s="8">
        <v>19</v>
      </c>
      <c r="G47" s="9">
        <v>0.03505535055350553</v>
      </c>
      <c r="H47" s="8">
        <v>138020</v>
      </c>
      <c r="I47" s="8">
        <v>19625</v>
      </c>
    </row>
    <row x14ac:dyDescent="0.25" r="48" customHeight="1" ht="18.75">
      <c r="A48" s="4" t="s">
        <v>14</v>
      </c>
      <c r="B48" s="4" t="s">
        <v>51</v>
      </c>
      <c r="C48" s="4" t="s">
        <v>43</v>
      </c>
      <c r="D48" s="5">
        <v>17</v>
      </c>
      <c r="E48" s="5">
        <v>736</v>
      </c>
      <c r="F48" s="5">
        <v>719</v>
      </c>
      <c r="G48" s="6">
        <v>0.9769021739130435</v>
      </c>
      <c r="H48" s="5">
        <v>176320</v>
      </c>
      <c r="I48" s="5">
        <v>173385</v>
      </c>
    </row>
    <row x14ac:dyDescent="0.25" r="49" customHeight="1" ht="18.75">
      <c r="A49" s="7" t="s">
        <v>15</v>
      </c>
      <c r="B49" s="7" t="s">
        <v>52</v>
      </c>
      <c r="C49" s="7" t="s">
        <v>53</v>
      </c>
      <c r="D49" s="8">
        <v>104</v>
      </c>
      <c r="E49" s="8">
        <v>1044</v>
      </c>
      <c r="F49" s="8">
        <v>940</v>
      </c>
      <c r="G49" s="9">
        <v>0.9003831417624522</v>
      </c>
      <c r="H49" s="8">
        <v>242710</v>
      </c>
      <c r="I49" s="8">
        <v>214625</v>
      </c>
    </row>
    <row x14ac:dyDescent="0.25" r="50" customHeight="1" ht="18.75">
      <c r="A50" s="4" t="s">
        <v>15</v>
      </c>
      <c r="B50" s="4" t="s">
        <v>52</v>
      </c>
      <c r="C50" s="4" t="s">
        <v>54</v>
      </c>
      <c r="D50" s="5">
        <v>247</v>
      </c>
      <c r="E50" s="5">
        <v>215</v>
      </c>
      <c r="F50" s="5">
        <v>-32</v>
      </c>
      <c r="G50" s="6">
        <v>-0.1488372093023256</v>
      </c>
      <c r="H50" s="5">
        <v>56655</v>
      </c>
      <c r="I50" s="5">
        <v>-7760</v>
      </c>
    </row>
    <row x14ac:dyDescent="0.25" r="51" customHeight="1" ht="18.75">
      <c r="A51" s="7" t="s">
        <v>15</v>
      </c>
      <c r="B51" s="7" t="s">
        <v>52</v>
      </c>
      <c r="C51" s="7" t="s">
        <v>55</v>
      </c>
      <c r="D51" s="8">
        <v>160</v>
      </c>
      <c r="E51" s="8">
        <v>215</v>
      </c>
      <c r="F51" s="8">
        <v>55</v>
      </c>
      <c r="G51" s="9">
        <v>0.2558139534883721</v>
      </c>
      <c r="H51" s="8">
        <v>56655</v>
      </c>
      <c r="I51" s="8">
        <v>13695</v>
      </c>
    </row>
    <row x14ac:dyDescent="0.25" r="52" customHeight="1" ht="18.75">
      <c r="A52" s="4" t="s">
        <v>15</v>
      </c>
      <c r="B52" s="4" t="s">
        <v>52</v>
      </c>
      <c r="C52" s="4" t="s">
        <v>47</v>
      </c>
      <c r="D52" s="5">
        <v>220</v>
      </c>
      <c r="E52" s="5">
        <v>215</v>
      </c>
      <c r="F52" s="5">
        <v>-5</v>
      </c>
      <c r="G52" s="6">
        <v>-0.02325581395348837</v>
      </c>
      <c r="H52" s="5">
        <v>56655</v>
      </c>
      <c r="I52" s="5">
        <v>-920</v>
      </c>
    </row>
    <row x14ac:dyDescent="0.25" r="53" customHeight="1" ht="18.75">
      <c r="A53" s="7" t="s">
        <v>15</v>
      </c>
      <c r="B53" s="7" t="s">
        <v>52</v>
      </c>
      <c r="C53" s="7" t="s">
        <v>46</v>
      </c>
      <c r="D53" s="8">
        <v>255</v>
      </c>
      <c r="E53" s="8">
        <v>215</v>
      </c>
      <c r="F53" s="8">
        <v>-40</v>
      </c>
      <c r="G53" s="9">
        <v>-0.186046511627907</v>
      </c>
      <c r="H53" s="8">
        <v>56655</v>
      </c>
      <c r="I53" s="8">
        <v>-9570</v>
      </c>
    </row>
    <row x14ac:dyDescent="0.25" r="54" customHeight="1" ht="18.75">
      <c r="A54" s="4" t="s">
        <v>15</v>
      </c>
      <c r="B54" s="4" t="s">
        <v>52</v>
      </c>
      <c r="C54" s="4" t="s">
        <v>27</v>
      </c>
      <c r="D54" s="5">
        <v>62</v>
      </c>
      <c r="E54" s="5">
        <v>1044</v>
      </c>
      <c r="F54" s="5">
        <v>982</v>
      </c>
      <c r="G54" s="6">
        <v>0.9406130268199234</v>
      </c>
      <c r="H54" s="5">
        <v>242710</v>
      </c>
      <c r="I54" s="5">
        <v>226240</v>
      </c>
    </row>
    <row x14ac:dyDescent="0.25" r="55" customHeight="1" ht="18.75">
      <c r="A55" s="7" t="s">
        <v>16</v>
      </c>
      <c r="B55" s="7" t="s">
        <v>56</v>
      </c>
      <c r="C55" s="7" t="s">
        <v>26</v>
      </c>
      <c r="D55" s="8">
        <v>301</v>
      </c>
      <c r="E55" s="8">
        <v>402</v>
      </c>
      <c r="F55" s="8">
        <v>101</v>
      </c>
      <c r="G55" s="9">
        <v>0.2512437810945274</v>
      </c>
      <c r="H55" s="8">
        <v>98610</v>
      </c>
      <c r="I55" s="8">
        <v>24990</v>
      </c>
    </row>
    <row x14ac:dyDescent="0.25" r="56" customHeight="1" ht="18.75">
      <c r="A56" s="4" t="s">
        <v>16</v>
      </c>
      <c r="B56" s="4" t="s">
        <v>56</v>
      </c>
      <c r="C56" s="4" t="s">
        <v>29</v>
      </c>
      <c r="D56" s="5">
        <v>169</v>
      </c>
      <c r="E56" s="5">
        <v>402</v>
      </c>
      <c r="F56" s="5">
        <v>233</v>
      </c>
      <c r="G56" s="6">
        <v>0.5796019900497512</v>
      </c>
      <c r="H56" s="5">
        <v>98610</v>
      </c>
      <c r="I56" s="5">
        <v>58975</v>
      </c>
    </row>
    <row x14ac:dyDescent="0.25" r="57" customHeight="1" ht="18.75">
      <c r="A57" s="7" t="s">
        <v>16</v>
      </c>
      <c r="B57" s="7" t="s">
        <v>56</v>
      </c>
      <c r="C57" s="7" t="s">
        <v>28</v>
      </c>
      <c r="D57" s="8">
        <v>237</v>
      </c>
      <c r="E57" s="8">
        <v>402</v>
      </c>
      <c r="F57" s="8">
        <v>165</v>
      </c>
      <c r="G57" s="9">
        <v>0.4104477611940299</v>
      </c>
      <c r="H57" s="8">
        <v>98610</v>
      </c>
      <c r="I57" s="8">
        <v>42910</v>
      </c>
    </row>
    <row x14ac:dyDescent="0.25" r="58" customHeight="1" ht="18.75">
      <c r="A58" s="4" t="s">
        <v>16</v>
      </c>
      <c r="B58" s="4" t="s">
        <v>56</v>
      </c>
      <c r="C58" s="4" t="s">
        <v>30</v>
      </c>
      <c r="D58" s="5">
        <v>186</v>
      </c>
      <c r="E58" s="5">
        <v>402</v>
      </c>
      <c r="F58" s="5">
        <v>216</v>
      </c>
      <c r="G58" s="6">
        <v>0.5373134328358209</v>
      </c>
      <c r="H58" s="5">
        <v>98610</v>
      </c>
      <c r="I58" s="5">
        <v>56615</v>
      </c>
    </row>
    <row x14ac:dyDescent="0.25" r="59" customHeight="1" ht="18.75">
      <c r="A59" s="7" t="s">
        <v>16</v>
      </c>
      <c r="B59" s="7" t="s">
        <v>56</v>
      </c>
      <c r="C59" s="7" t="s">
        <v>57</v>
      </c>
      <c r="D59" s="8">
        <v>0</v>
      </c>
      <c r="E59" s="8">
        <v>402</v>
      </c>
      <c r="F59" s="8">
        <v>402</v>
      </c>
      <c r="G59" s="9">
        <v>1</v>
      </c>
      <c r="H59" s="8">
        <v>98610</v>
      </c>
      <c r="I59" s="8">
        <v>98610</v>
      </c>
    </row>
    <row x14ac:dyDescent="0.25" r="60" customHeight="1" ht="18.75">
      <c r="A60" s="4" t="s">
        <v>16</v>
      </c>
      <c r="B60" s="4" t="s">
        <v>56</v>
      </c>
      <c r="C60" s="4" t="s">
        <v>25</v>
      </c>
      <c r="D60" s="5">
        <v>256</v>
      </c>
      <c r="E60" s="5">
        <v>402</v>
      </c>
      <c r="F60" s="5">
        <v>146</v>
      </c>
      <c r="G60" s="6">
        <v>0.3631840796019901</v>
      </c>
      <c r="H60" s="5">
        <v>98610</v>
      </c>
      <c r="I60" s="5">
        <v>37640</v>
      </c>
    </row>
    <row x14ac:dyDescent="0.25" r="61" customHeight="1" ht="18.75">
      <c r="A61" s="7" t="s">
        <v>17</v>
      </c>
      <c r="B61" s="7" t="s">
        <v>58</v>
      </c>
      <c r="C61" s="7" t="s">
        <v>28</v>
      </c>
      <c r="D61" s="8">
        <v>695</v>
      </c>
      <c r="E61" s="8">
        <v>1310</v>
      </c>
      <c r="F61" s="8">
        <v>615</v>
      </c>
      <c r="G61" s="9">
        <v>0.4694656488549618</v>
      </c>
      <c r="H61" s="8">
        <v>293785</v>
      </c>
      <c r="I61" s="8">
        <v>122290</v>
      </c>
    </row>
    <row x14ac:dyDescent="0.25" r="62" customHeight="1" ht="18.75">
      <c r="A62" s="4" t="s">
        <v>17</v>
      </c>
      <c r="B62" s="4" t="s">
        <v>58</v>
      </c>
      <c r="C62" s="4" t="s">
        <v>46</v>
      </c>
      <c r="D62" s="5">
        <v>783</v>
      </c>
      <c r="E62" s="5">
        <v>1310</v>
      </c>
      <c r="F62" s="5">
        <v>527</v>
      </c>
      <c r="G62" s="6">
        <v>0.4022900763358779</v>
      </c>
      <c r="H62" s="5">
        <v>293785</v>
      </c>
      <c r="I62" s="5">
        <v>102705</v>
      </c>
    </row>
    <row x14ac:dyDescent="0.25" r="63" customHeight="1" ht="18.75">
      <c r="A63" s="7" t="s">
        <v>17</v>
      </c>
      <c r="B63" s="7" t="s">
        <v>58</v>
      </c>
      <c r="C63" s="7" t="s">
        <v>29</v>
      </c>
      <c r="D63" s="8">
        <v>196</v>
      </c>
      <c r="E63" s="8">
        <v>1310</v>
      </c>
      <c r="F63" s="8">
        <v>1114</v>
      </c>
      <c r="G63" s="9">
        <v>0.850381679389313</v>
      </c>
      <c r="H63" s="8">
        <v>293785</v>
      </c>
      <c r="I63" s="8">
        <v>245865</v>
      </c>
    </row>
    <row x14ac:dyDescent="0.25" r="64" customHeight="1" ht="18.75">
      <c r="A64" s="4" t="s">
        <v>17</v>
      </c>
      <c r="B64" s="4" t="s">
        <v>58</v>
      </c>
      <c r="C64" s="4" t="s">
        <v>30</v>
      </c>
      <c r="D64" s="5">
        <v>748</v>
      </c>
      <c r="E64" s="5">
        <v>1310</v>
      </c>
      <c r="F64" s="5">
        <v>562</v>
      </c>
      <c r="G64" s="6">
        <v>0.4290076335877863</v>
      </c>
      <c r="H64" s="5">
        <v>293785</v>
      </c>
      <c r="I64" s="5">
        <v>109665</v>
      </c>
    </row>
    <row x14ac:dyDescent="0.25" r="65" customHeight="1" ht="18.75">
      <c r="A65" s="7" t="s">
        <v>17</v>
      </c>
      <c r="B65" s="7" t="s">
        <v>58</v>
      </c>
      <c r="C65" s="7" t="s">
        <v>25</v>
      </c>
      <c r="D65" s="8">
        <v>700</v>
      </c>
      <c r="E65" s="8">
        <v>1310</v>
      </c>
      <c r="F65" s="8">
        <v>610</v>
      </c>
      <c r="G65" s="9">
        <v>0.4656488549618321</v>
      </c>
      <c r="H65" s="8">
        <v>293785</v>
      </c>
      <c r="I65" s="8">
        <v>121695</v>
      </c>
    </row>
    <row x14ac:dyDescent="0.25" r="66" customHeight="1" ht="18.75">
      <c r="A66" s="4" t="s">
        <v>18</v>
      </c>
      <c r="B66" s="4" t="s">
        <v>59</v>
      </c>
      <c r="C66" s="4" t="s">
        <v>27</v>
      </c>
      <c r="D66" s="5">
        <v>0</v>
      </c>
      <c r="E66" s="5">
        <v>692</v>
      </c>
      <c r="F66" s="5">
        <v>692</v>
      </c>
      <c r="G66" s="6">
        <v>1</v>
      </c>
      <c r="H66" s="5">
        <v>167670</v>
      </c>
      <c r="I66" s="5">
        <v>167670</v>
      </c>
    </row>
    <row x14ac:dyDescent="0.25" r="67" customHeight="1" ht="18.75">
      <c r="A67" s="7" t="s">
        <v>18</v>
      </c>
      <c r="B67" s="7" t="s">
        <v>59</v>
      </c>
      <c r="C67" s="7" t="s">
        <v>41</v>
      </c>
      <c r="D67" s="8">
        <v>206</v>
      </c>
      <c r="E67" s="8">
        <v>692</v>
      </c>
      <c r="F67" s="8">
        <v>486</v>
      </c>
      <c r="G67" s="9">
        <v>0.7023121387283237</v>
      </c>
      <c r="H67" s="8">
        <v>167670</v>
      </c>
      <c r="I67" s="8">
        <v>121535</v>
      </c>
    </row>
    <row x14ac:dyDescent="0.25" r="68" customHeight="1" ht="18.75">
      <c r="A68" s="4" t="s">
        <v>18</v>
      </c>
      <c r="B68" s="4" t="s">
        <v>59</v>
      </c>
      <c r="C68" s="4" t="s">
        <v>28</v>
      </c>
      <c r="D68" s="5">
        <v>43</v>
      </c>
      <c r="E68" s="5">
        <v>692</v>
      </c>
      <c r="F68" s="5">
        <v>649</v>
      </c>
      <c r="G68" s="6">
        <v>0.9378612716763006</v>
      </c>
      <c r="H68" s="5">
        <v>167670</v>
      </c>
      <c r="I68" s="5">
        <v>158985</v>
      </c>
    </row>
    <row x14ac:dyDescent="0.25" r="69" customHeight="1" ht="18.75">
      <c r="A69" s="7" t="s">
        <v>18</v>
      </c>
      <c r="B69" s="7" t="s">
        <v>59</v>
      </c>
      <c r="C69" s="7" t="s">
        <v>60</v>
      </c>
      <c r="D69" s="8">
        <v>174</v>
      </c>
      <c r="E69" s="8">
        <v>692</v>
      </c>
      <c r="F69" s="8">
        <v>518</v>
      </c>
      <c r="G69" s="9">
        <v>0.7485549132947977</v>
      </c>
      <c r="H69" s="8">
        <v>167670</v>
      </c>
      <c r="I69" s="8">
        <v>130450</v>
      </c>
    </row>
    <row x14ac:dyDescent="0.25" r="70" customHeight="1" ht="18.75">
      <c r="A70" s="4" t="s">
        <v>18</v>
      </c>
      <c r="B70" s="4" t="s">
        <v>59</v>
      </c>
      <c r="C70" s="4" t="s">
        <v>61</v>
      </c>
      <c r="D70" s="5">
        <v>339</v>
      </c>
      <c r="E70" s="5">
        <v>692</v>
      </c>
      <c r="F70" s="5">
        <v>353</v>
      </c>
      <c r="G70" s="6">
        <v>0.5101156069364162</v>
      </c>
      <c r="H70" s="5">
        <v>167670</v>
      </c>
      <c r="I70" s="5">
        <v>87910</v>
      </c>
    </row>
    <row x14ac:dyDescent="0.25" r="71" customHeight="1" ht="18.75">
      <c r="A71" s="7" t="s">
        <v>18</v>
      </c>
      <c r="B71" s="7" t="s">
        <v>59</v>
      </c>
      <c r="C71" s="7" t="s">
        <v>62</v>
      </c>
      <c r="D71" s="8">
        <v>6</v>
      </c>
      <c r="E71" s="8">
        <v>692</v>
      </c>
      <c r="F71" s="8">
        <v>686</v>
      </c>
      <c r="G71" s="9">
        <v>0.9913294797687862</v>
      </c>
      <c r="H71" s="8">
        <v>167670</v>
      </c>
      <c r="I71" s="8">
        <v>166585</v>
      </c>
    </row>
    <row x14ac:dyDescent="0.25" r="72" customHeight="1" ht="18.75">
      <c r="A72" s="4" t="s">
        <v>19</v>
      </c>
      <c r="B72" s="4" t="s">
        <v>63</v>
      </c>
      <c r="C72" s="4" t="s">
        <v>46</v>
      </c>
      <c r="D72" s="5">
        <v>200</v>
      </c>
      <c r="E72" s="5">
        <v>815</v>
      </c>
      <c r="F72" s="5">
        <v>615</v>
      </c>
      <c r="G72" s="6">
        <v>0.754601226993865</v>
      </c>
      <c r="H72" s="5">
        <v>189125</v>
      </c>
      <c r="I72" s="5">
        <v>136625</v>
      </c>
    </row>
    <row x14ac:dyDescent="0.25" r="73" customHeight="1" ht="18.75">
      <c r="A73" s="7" t="s">
        <v>19</v>
      </c>
      <c r="B73" s="7" t="s">
        <v>63</v>
      </c>
      <c r="C73" s="7" t="s">
        <v>47</v>
      </c>
      <c r="D73" s="8">
        <v>200</v>
      </c>
      <c r="E73" s="8">
        <v>815</v>
      </c>
      <c r="F73" s="8">
        <v>615</v>
      </c>
      <c r="G73" s="9">
        <v>0.754601226993865</v>
      </c>
      <c r="H73" s="8">
        <v>189125</v>
      </c>
      <c r="I73" s="8">
        <v>136625</v>
      </c>
    </row>
    <row x14ac:dyDescent="0.25" r="74" customHeight="1" ht="18.75">
      <c r="A74" s="4" t="s">
        <v>19</v>
      </c>
      <c r="B74" s="4" t="s">
        <v>63</v>
      </c>
      <c r="C74" s="4" t="s">
        <v>28</v>
      </c>
      <c r="D74" s="5">
        <v>200</v>
      </c>
      <c r="E74" s="5">
        <v>815</v>
      </c>
      <c r="F74" s="5">
        <v>615</v>
      </c>
      <c r="G74" s="6">
        <v>0.754601226993865</v>
      </c>
      <c r="H74" s="5">
        <v>189125</v>
      </c>
      <c r="I74" s="5">
        <v>136625</v>
      </c>
    </row>
    <row x14ac:dyDescent="0.25" r="75" customHeight="1" ht="18.75">
      <c r="A75" s="7" t="s">
        <v>19</v>
      </c>
      <c r="B75" s="7" t="s">
        <v>63</v>
      </c>
      <c r="C75" s="7" t="s">
        <v>29</v>
      </c>
      <c r="D75" s="8">
        <v>200</v>
      </c>
      <c r="E75" s="8">
        <v>815</v>
      </c>
      <c r="F75" s="8">
        <v>615</v>
      </c>
      <c r="G75" s="9">
        <v>0.754601226993865</v>
      </c>
      <c r="H75" s="8">
        <v>189125</v>
      </c>
      <c r="I75" s="8">
        <v>136625</v>
      </c>
    </row>
    <row x14ac:dyDescent="0.25" r="76" customHeight="1" ht="18.75">
      <c r="A76" s="4" t="s">
        <v>19</v>
      </c>
      <c r="B76" s="4" t="s">
        <v>63</v>
      </c>
      <c r="C76" s="4" t="s">
        <v>25</v>
      </c>
      <c r="D76" s="5">
        <v>200</v>
      </c>
      <c r="E76" s="5">
        <v>815</v>
      </c>
      <c r="F76" s="5">
        <v>615</v>
      </c>
      <c r="G76" s="6">
        <v>0.754601226993865</v>
      </c>
      <c r="H76" s="5">
        <v>189125</v>
      </c>
      <c r="I76" s="5">
        <v>136625</v>
      </c>
    </row>
    <row x14ac:dyDescent="0.25" r="77" customHeight="1" ht="18.75">
      <c r="A77" s="7" t="s">
        <v>19</v>
      </c>
      <c r="B77" s="7" t="s">
        <v>63</v>
      </c>
      <c r="C77" s="7" t="s">
        <v>64</v>
      </c>
      <c r="D77" s="8">
        <v>200</v>
      </c>
      <c r="E77" s="8">
        <v>815</v>
      </c>
      <c r="F77" s="8">
        <v>615</v>
      </c>
      <c r="G77" s="9">
        <v>0.754601226993865</v>
      </c>
      <c r="H77" s="8">
        <v>189125</v>
      </c>
      <c r="I77" s="8">
        <v>136625</v>
      </c>
    </row>
    <row x14ac:dyDescent="0.25" r="78" customHeight="1" ht="18.75">
      <c r="A78" s="4" t="s">
        <v>20</v>
      </c>
      <c r="B78" s="4" t="s">
        <v>65</v>
      </c>
      <c r="C78" s="4" t="s">
        <v>47</v>
      </c>
      <c r="D78" s="5">
        <v>311</v>
      </c>
      <c r="E78" s="5">
        <v>470</v>
      </c>
      <c r="F78" s="5">
        <v>159</v>
      </c>
      <c r="G78" s="6">
        <v>0.3382978723404255</v>
      </c>
      <c r="H78" s="5">
        <v>111450</v>
      </c>
      <c r="I78" s="5">
        <v>33985</v>
      </c>
    </row>
    <row x14ac:dyDescent="0.25" r="79" customHeight="1" ht="18.75">
      <c r="A79" s="7" t="s">
        <v>20</v>
      </c>
      <c r="B79" s="7" t="s">
        <v>65</v>
      </c>
      <c r="C79" s="7" t="s">
        <v>66</v>
      </c>
      <c r="D79" s="8">
        <v>253</v>
      </c>
      <c r="E79" s="8">
        <v>470</v>
      </c>
      <c r="F79" s="8">
        <v>217</v>
      </c>
      <c r="G79" s="9">
        <v>0.4617021276595745</v>
      </c>
      <c r="H79" s="8">
        <v>111450</v>
      </c>
      <c r="I79" s="8">
        <v>46425</v>
      </c>
    </row>
    <row x14ac:dyDescent="0.25" r="80" customHeight="1" ht="18.75">
      <c r="A80" s="4" t="s">
        <v>20</v>
      </c>
      <c r="B80" s="4" t="s">
        <v>65</v>
      </c>
      <c r="C80" s="4" t="s">
        <v>46</v>
      </c>
      <c r="D80" s="5">
        <v>341</v>
      </c>
      <c r="E80" s="5">
        <v>470</v>
      </c>
      <c r="F80" s="5">
        <v>129</v>
      </c>
      <c r="G80" s="6">
        <v>0.274468085106383</v>
      </c>
      <c r="H80" s="5">
        <v>111450</v>
      </c>
      <c r="I80" s="5">
        <v>27230</v>
      </c>
    </row>
    <row x14ac:dyDescent="0.25" r="81" customHeight="1" ht="18.75">
      <c r="A81" s="7" t="s">
        <v>20</v>
      </c>
      <c r="B81" s="7" t="s">
        <v>65</v>
      </c>
      <c r="C81" s="7" t="s">
        <v>67</v>
      </c>
      <c r="D81" s="8">
        <v>324</v>
      </c>
      <c r="E81" s="8">
        <v>470</v>
      </c>
      <c r="F81" s="8">
        <v>146</v>
      </c>
      <c r="G81" s="9">
        <v>0.3106382978723404</v>
      </c>
      <c r="H81" s="8">
        <v>111450</v>
      </c>
      <c r="I81" s="8">
        <v>31060</v>
      </c>
    </row>
    <row x14ac:dyDescent="0.25" r="82" customHeight="1" ht="18.75">
      <c r="A82" s="4" t="s">
        <v>20</v>
      </c>
      <c r="B82" s="4" t="s">
        <v>65</v>
      </c>
      <c r="C82" s="4" t="s">
        <v>49</v>
      </c>
      <c r="D82" s="5">
        <v>317</v>
      </c>
      <c r="E82" s="5">
        <v>470</v>
      </c>
      <c r="F82" s="5">
        <v>153</v>
      </c>
      <c r="G82" s="6">
        <v>0.325531914893617</v>
      </c>
      <c r="H82" s="5">
        <v>111450</v>
      </c>
      <c r="I82" s="5">
        <v>33245</v>
      </c>
    </row>
    <row x14ac:dyDescent="0.25" r="83" customHeight="1" ht="18.75">
      <c r="A83" s="10" t="s">
        <v>21</v>
      </c>
      <c r="B83" s="10"/>
      <c r="C83" s="10"/>
      <c r="D83" s="11">
        <f>SUM(D2:D82)</f>
      </c>
      <c r="E83" s="11">
        <f>SUM(E2:E82)</f>
      </c>
      <c r="F83" s="11">
        <f>SUM(F2:F82)</f>
      </c>
      <c r="G83" s="12"/>
      <c r="H83" s="11">
        <f>SUM(H2:H82)</f>
      </c>
      <c r="I83" s="11">
        <f>SUM(I2:I82)</f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6"/>
  <sheetViews>
    <sheetView workbookViewId="0"/>
  </sheetViews>
  <sheetFormatPr defaultRowHeight="15" x14ac:dyDescent="0.25"/>
  <cols>
    <col min="1" max="1" style="13" width="25.005" customWidth="1" bestFit="1"/>
    <col min="2" max="2" style="14" width="18.005" customWidth="1" bestFit="1"/>
    <col min="3" max="3" style="14" width="15.005" customWidth="1" bestFit="1"/>
    <col min="4" max="4" style="14" width="15.005" customWidth="1" bestFit="1"/>
    <col min="5" max="5" style="15" width="15.005" customWidth="1" bestFit="1"/>
    <col min="6" max="6" style="14" width="15.005" customWidth="1" bestFit="1"/>
    <col min="7" max="7" style="14" width="15.005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</row>
    <row x14ac:dyDescent="0.25" r="2" customHeight="1" ht="18.75">
      <c r="A2" s="4" t="s">
        <v>7</v>
      </c>
      <c r="B2" s="5">
        <v>208</v>
      </c>
      <c r="C2" s="5">
        <v>5052</v>
      </c>
      <c r="D2" s="5">
        <v>4844</v>
      </c>
      <c r="E2" s="6">
        <v>0.9588281868566905</v>
      </c>
      <c r="F2" s="5">
        <v>1163160</v>
      </c>
      <c r="G2" s="5">
        <v>1131405</v>
      </c>
    </row>
    <row x14ac:dyDescent="0.25" r="3" customHeight="1" ht="18.75">
      <c r="A3" s="7" t="s">
        <v>8</v>
      </c>
      <c r="B3" s="8">
        <v>3610</v>
      </c>
      <c r="C3" s="8">
        <v>5934</v>
      </c>
      <c r="D3" s="8">
        <v>2324</v>
      </c>
      <c r="E3" s="9">
        <v>0.3916413886080216</v>
      </c>
      <c r="F3" s="8">
        <v>1338150</v>
      </c>
      <c r="G3" s="8">
        <v>529205</v>
      </c>
    </row>
    <row x14ac:dyDescent="0.25" r="4" customHeight="1" ht="18.75">
      <c r="A4" s="4" t="s">
        <v>9</v>
      </c>
      <c r="B4" s="5">
        <v>1745</v>
      </c>
      <c r="C4" s="5">
        <v>3756</v>
      </c>
      <c r="D4" s="5">
        <v>2011</v>
      </c>
      <c r="E4" s="6">
        <v>0.5354100106496272</v>
      </c>
      <c r="F4" s="5">
        <v>896310</v>
      </c>
      <c r="G4" s="5">
        <v>512540</v>
      </c>
    </row>
    <row x14ac:dyDescent="0.25" r="5" customHeight="1" ht="18.75">
      <c r="A5" s="7" t="s">
        <v>10</v>
      </c>
      <c r="B5" s="8">
        <v>1050</v>
      </c>
      <c r="C5" s="8">
        <v>2931</v>
      </c>
      <c r="D5" s="8">
        <v>1881</v>
      </c>
      <c r="E5" s="9">
        <v>0.6417604912998977</v>
      </c>
      <c r="F5" s="8">
        <v>708405</v>
      </c>
      <c r="G5" s="8">
        <v>461550</v>
      </c>
    </row>
    <row x14ac:dyDescent="0.25" r="6" customHeight="1" ht="18.75">
      <c r="A6" s="4" t="s">
        <v>11</v>
      </c>
      <c r="B6" s="5">
        <v>89</v>
      </c>
      <c r="C6" s="5">
        <v>5070</v>
      </c>
      <c r="D6" s="5">
        <v>4981</v>
      </c>
      <c r="E6" s="6">
        <v>0.9824457593688363</v>
      </c>
      <c r="F6" s="5">
        <v>1228140</v>
      </c>
      <c r="G6" s="5">
        <v>1208310</v>
      </c>
    </row>
    <row x14ac:dyDescent="0.25" r="7" customHeight="1" ht="18.75">
      <c r="A7" s="7" t="s">
        <v>12</v>
      </c>
      <c r="B7" s="8">
        <v>507</v>
      </c>
      <c r="C7" s="8">
        <v>5275</v>
      </c>
      <c r="D7" s="8">
        <v>4768</v>
      </c>
      <c r="E7" s="9">
        <v>0.9038862559241706</v>
      </c>
      <c r="F7" s="8">
        <v>1266025</v>
      </c>
      <c r="G7" s="8">
        <v>1162020</v>
      </c>
    </row>
    <row x14ac:dyDescent="0.25" r="8" customHeight="1" ht="18.75">
      <c r="A8" s="4" t="s">
        <v>13</v>
      </c>
      <c r="B8" s="5">
        <v>2411</v>
      </c>
      <c r="C8" s="5">
        <v>3768</v>
      </c>
      <c r="D8" s="5">
        <v>1357</v>
      </c>
      <c r="E8" s="6">
        <v>0.3601380042462845</v>
      </c>
      <c r="F8" s="5">
        <v>896400</v>
      </c>
      <c r="G8" s="5">
        <v>330585</v>
      </c>
    </row>
    <row x14ac:dyDescent="0.25" r="9" customHeight="1" ht="18.75">
      <c r="A9" s="7" t="s">
        <v>14</v>
      </c>
      <c r="B9" s="8">
        <v>2300</v>
      </c>
      <c r="C9" s="8">
        <v>3446</v>
      </c>
      <c r="D9" s="8">
        <v>1146</v>
      </c>
      <c r="E9" s="9">
        <v>0.3325594892629135</v>
      </c>
      <c r="F9" s="8">
        <v>866420</v>
      </c>
      <c r="G9" s="8">
        <v>353140</v>
      </c>
    </row>
    <row x14ac:dyDescent="0.25" r="10" customHeight="1" ht="18.75">
      <c r="A10" s="4" t="s">
        <v>15</v>
      </c>
      <c r="B10" s="5">
        <v>1048</v>
      </c>
      <c r="C10" s="5">
        <v>2948</v>
      </c>
      <c r="D10" s="5">
        <v>1900</v>
      </c>
      <c r="E10" s="6">
        <v>0.6445047489823609</v>
      </c>
      <c r="F10" s="5">
        <v>712040</v>
      </c>
      <c r="G10" s="5">
        <v>436310</v>
      </c>
    </row>
    <row x14ac:dyDescent="0.25" r="11" customHeight="1" ht="18.75">
      <c r="A11" s="7" t="s">
        <v>16</v>
      </c>
      <c r="B11" s="8">
        <v>1149</v>
      </c>
      <c r="C11" s="8">
        <v>2412</v>
      </c>
      <c r="D11" s="8">
        <v>1263</v>
      </c>
      <c r="E11" s="9">
        <v>0.5236318407960199</v>
      </c>
      <c r="F11" s="8">
        <v>591660</v>
      </c>
      <c r="G11" s="8">
        <v>319740</v>
      </c>
    </row>
    <row x14ac:dyDescent="0.25" r="12" customHeight="1" ht="18.75">
      <c r="A12" s="4" t="s">
        <v>17</v>
      </c>
      <c r="B12" s="5">
        <v>3122</v>
      </c>
      <c r="C12" s="5">
        <v>6550</v>
      </c>
      <c r="D12" s="5">
        <v>3428</v>
      </c>
      <c r="E12" s="6">
        <v>0.5233587786259541</v>
      </c>
      <c r="F12" s="5">
        <v>1468925</v>
      </c>
      <c r="G12" s="5">
        <v>702220</v>
      </c>
    </row>
    <row x14ac:dyDescent="0.25" r="13" customHeight="1" ht="18.75">
      <c r="A13" s="7" t="s">
        <v>18</v>
      </c>
      <c r="B13" s="8">
        <v>768</v>
      </c>
      <c r="C13" s="8">
        <v>4152</v>
      </c>
      <c r="D13" s="8">
        <v>3384</v>
      </c>
      <c r="E13" s="9">
        <v>0.815028901734104</v>
      </c>
      <c r="F13" s="8">
        <v>1006020</v>
      </c>
      <c r="G13" s="8">
        <v>833135</v>
      </c>
    </row>
    <row x14ac:dyDescent="0.25" r="14" customHeight="1" ht="18.75">
      <c r="A14" s="4" t="s">
        <v>19</v>
      </c>
      <c r="B14" s="5">
        <v>1200</v>
      </c>
      <c r="C14" s="5">
        <v>4890</v>
      </c>
      <c r="D14" s="5">
        <v>3690</v>
      </c>
      <c r="E14" s="6">
        <v>0.754601226993865</v>
      </c>
      <c r="F14" s="5">
        <v>1134750</v>
      </c>
      <c r="G14" s="5">
        <v>819750</v>
      </c>
    </row>
    <row x14ac:dyDescent="0.25" r="15" customHeight="1" ht="18.75">
      <c r="A15" s="7" t="s">
        <v>20</v>
      </c>
      <c r="B15" s="8">
        <v>1546</v>
      </c>
      <c r="C15" s="8">
        <v>2350</v>
      </c>
      <c r="D15" s="8">
        <v>804</v>
      </c>
      <c r="E15" s="9">
        <v>0.3421276595744681</v>
      </c>
      <c r="F15" s="8">
        <v>557250</v>
      </c>
      <c r="G15" s="8">
        <v>171945</v>
      </c>
    </row>
    <row x14ac:dyDescent="0.25" r="16" customHeight="1" ht="18.75">
      <c r="A16" s="10" t="s">
        <v>21</v>
      </c>
      <c r="B16" s="11">
        <f>SUM(B2:B15)</f>
      </c>
      <c r="C16" s="11">
        <f>SUM(C2:C15)</f>
      </c>
      <c r="D16" s="11">
        <f>SUM(D2:D15)</f>
      </c>
      <c r="E16" s="12"/>
      <c r="F16" s="11">
        <f>SUM(F2:F15)</f>
      </c>
      <c r="G16" s="11">
        <f>SUM(G2:G15)</f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DetailedData</vt:lpstr>
      <vt:lpstr>AggregatedData_Per_Showtime</vt:lpstr>
      <vt:lpstr>AggregatedData_Per_Theater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2025-01-09T03:21:53.833Z</dcterms:created>
  <dcterms:modified xsi:type="dcterms:W3CDTF">2025-01-09T03:21:53.833Z</dcterms:modified>
</cp:coreProperties>
</file>